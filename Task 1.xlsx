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13_ncr:9_{C5BBA28B-D23D-40F7-862D-5BAF6D96A90F}" xr6:coauthVersionLast="47" xr6:coauthVersionMax="47" xr10:uidLastSave="{00000000-0000-0000-0000-000000000000}"/>
  <bookViews>
    <workbookView xWindow="-110" yWindow="-110" windowWidth="19420" windowHeight="11020" xr2:uid="{40AEE022-B89D-4746-A7A1-3428EBC7B540}"/>
  </bookViews>
  <sheets>
    <sheet name="String Function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2" i="1"/>
  <c r="G25" i="1"/>
  <c r="G26" i="1"/>
  <c r="G27" i="1"/>
  <c r="G28" i="1"/>
  <c r="H26" i="1"/>
  <c r="H27" i="1"/>
  <c r="H28" i="1"/>
  <c r="H25" i="1"/>
  <c r="F26" i="1"/>
  <c r="F27" i="1"/>
  <c r="F28" i="1"/>
  <c r="F25" i="1"/>
  <c r="E26" i="1"/>
  <c r="E27" i="1"/>
  <c r="E28" i="1"/>
  <c r="E25" i="1"/>
  <c r="M3" i="1"/>
  <c r="M4" i="1"/>
  <c r="M5" i="1"/>
  <c r="M2" i="1"/>
  <c r="L3" i="1"/>
  <c r="L4" i="1"/>
  <c r="L5" i="1"/>
  <c r="L2" i="1"/>
  <c r="K3" i="1"/>
  <c r="K4" i="1"/>
  <c r="K5" i="1"/>
  <c r="K2" i="1"/>
  <c r="J3" i="1"/>
  <c r="J4" i="1"/>
  <c r="J5" i="1"/>
  <c r="J2" i="1"/>
  <c r="I3" i="1"/>
  <c r="I4" i="1"/>
  <c r="I5" i="1"/>
  <c r="I2" i="1"/>
  <c r="H18" i="1"/>
  <c r="H19" i="1"/>
  <c r="H20" i="1"/>
  <c r="G17" i="1"/>
  <c r="H17" i="1"/>
  <c r="G18" i="1"/>
  <c r="G19" i="1"/>
  <c r="G20" i="1"/>
  <c r="F18" i="1"/>
  <c r="F19" i="1"/>
  <c r="F20" i="1"/>
  <c r="F17" i="1"/>
  <c r="E18" i="1"/>
  <c r="E19" i="1"/>
  <c r="E20" i="1"/>
  <c r="E17" i="1"/>
  <c r="I10" i="1"/>
  <c r="I11" i="1"/>
  <c r="I12" i="1"/>
  <c r="I9" i="1"/>
  <c r="H10" i="1"/>
  <c r="H11" i="1"/>
  <c r="H12" i="1"/>
  <c r="H9" i="1"/>
  <c r="G10" i="1"/>
  <c r="G11" i="1"/>
  <c r="G12" i="1"/>
  <c r="F10" i="1"/>
  <c r="F11" i="1"/>
  <c r="F12" i="1"/>
  <c r="F9" i="1"/>
  <c r="E10" i="1"/>
  <c r="E11" i="1"/>
  <c r="E12" i="1"/>
  <c r="E9" i="1"/>
  <c r="H2" i="1"/>
  <c r="G9" i="1" s="1"/>
</calcChain>
</file>

<file path=xl/sharedStrings.xml><?xml version="1.0" encoding="utf-8"?>
<sst xmlns="http://schemas.openxmlformats.org/spreadsheetml/2006/main" count="47" uniqueCount="47">
  <si>
    <t>Emp_ID</t>
  </si>
  <si>
    <t>Full_Name</t>
  </si>
  <si>
    <t>Email_ID</t>
  </si>
  <si>
    <t>Dept_Code</t>
  </si>
  <si>
    <t>Location_Code</t>
  </si>
  <si>
    <t>Phone_No</t>
  </si>
  <si>
    <t>E101</t>
  </si>
  <si>
    <t>rahul  sharma</t>
  </si>
  <si>
    <t>rahul.sharma@company.com</t>
  </si>
  <si>
    <t>HR-01</t>
  </si>
  <si>
    <t>IND-DEL</t>
  </si>
  <si>
    <t>E102</t>
  </si>
  <si>
    <t>ANITA.Mehta</t>
  </si>
  <si>
    <t>FIN-02</t>
  </si>
  <si>
    <t>IND-MUM</t>
  </si>
  <si>
    <t>98765 43210</t>
  </si>
  <si>
    <t>E103</t>
  </si>
  <si>
    <t>Rajiv Roy</t>
  </si>
  <si>
    <t>IND-BLR</t>
  </si>
  <si>
    <t>+91 9123456789</t>
  </si>
  <si>
    <t>E104</t>
  </si>
  <si>
    <t>sneha.patel</t>
  </si>
  <si>
    <t>sneha.patel@company.com</t>
  </si>
  <si>
    <t>IND-AHM</t>
  </si>
  <si>
    <t>091-9988776655</t>
  </si>
  <si>
    <t>Len()</t>
  </si>
  <si>
    <t>Trim ()</t>
  </si>
  <si>
    <t>Left()</t>
  </si>
  <si>
    <t>Right()</t>
  </si>
  <si>
    <t>Subsitute()</t>
  </si>
  <si>
    <t>Mid()</t>
  </si>
  <si>
    <t>Search()</t>
  </si>
  <si>
    <t>Find(Case sensetive)</t>
  </si>
  <si>
    <t>rajivroy@yahoo.com</t>
  </si>
  <si>
    <t>anita_mehta@gmail.com</t>
  </si>
  <si>
    <t>Email_Validation</t>
  </si>
  <si>
    <t>Nesting</t>
  </si>
  <si>
    <t>T/F</t>
  </si>
  <si>
    <t>If</t>
  </si>
  <si>
    <t>Valid Phone No.</t>
  </si>
  <si>
    <t>Proper()</t>
  </si>
  <si>
    <t>IT-033</t>
  </si>
  <si>
    <t xml:space="preserve">HR-01   </t>
  </si>
  <si>
    <t>Department code</t>
  </si>
  <si>
    <t>Masked No</t>
  </si>
  <si>
    <t>Concat()</t>
  </si>
  <si>
    <t>Department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</si>
</sst>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0" xfId="0" applyBorder="1"/>
    <xf numFmtId="0" fontId="0" fillId="0" borderId="17" xfId="0" applyBorder="1"/>
    <xf numFmtId="0" fontId="0" fillId="0" borderId="18" xfId="0" applyBorder="1" applyAlignment="1"/>
    <xf numFmtId="0" fontId="0" fillId="0" borderId="19" xfId="0" applyBorder="1"/>
    <xf numFmtId="0" fontId="0" fillId="0" borderId="21" xfId="0" applyBorder="1" applyAlignment="1"/>
    <xf numFmtId="0" fontId="0" fillId="0" borderId="14" xfId="0" applyBorder="1"/>
    <xf numFmtId="0" fontId="0" fillId="0" borderId="16" xfId="0" applyBorder="1" applyAlignment="1"/>
    <xf numFmtId="0" fontId="0" fillId="0" borderId="16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0" fillId="0" borderId="23" xfId="0" applyBorder="1"/>
    <xf numFmtId="0" fontId="0" fillId="0" borderId="14" xfId="0" applyBorder="1" applyAlignment="1"/>
    <xf numFmtId="0" fontId="0" fillId="0" borderId="17" xfId="0" applyBorder="1" applyAlignment="1"/>
    <xf numFmtId="0" fontId="0" fillId="0" borderId="19" xfId="0" applyBorder="1" applyAlignment="1"/>
    <xf numFmtId="0" fontId="0" fillId="0" borderId="0" xfId="0" applyBorder="1"/>
    <xf numFmtId="0" fontId="0" fillId="0" borderId="20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5" xfId="0" applyBorder="1"/>
    <xf numFmtId="0" fontId="18" fillId="33" borderId="22" xfId="0" applyFont="1" applyFill="1" applyBorder="1" applyAlignment="1">
      <alignment horizontal="center"/>
    </xf>
    <xf numFmtId="0" fontId="18" fillId="33" borderId="2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6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0" xfId="0" applyBorder="1" applyAlignment="1"/>
    <xf numFmtId="0" fontId="0" fillId="0" borderId="32" xfId="0" applyBorder="1"/>
    <xf numFmtId="0" fontId="0" fillId="0" borderId="32" xfId="0" applyBorder="1" applyAlignment="1"/>
    <xf numFmtId="0" fontId="0" fillId="0" borderId="11" xfId="0" applyBorder="1"/>
    <xf numFmtId="0" fontId="19" fillId="0" borderId="10" xfId="42" applyBorder="1"/>
    <xf numFmtId="0" fontId="0" fillId="33" borderId="10" xfId="0" applyFill="1" applyBorder="1"/>
    <xf numFmtId="0" fontId="20" fillId="33" borderId="26" xfId="0" applyFont="1" applyFill="1" applyBorder="1" applyAlignment="1">
      <alignment horizontal="center"/>
    </xf>
    <xf numFmtId="0" fontId="20" fillId="33" borderId="27" xfId="0" applyFont="1" applyFill="1" applyBorder="1" applyAlignment="1">
      <alignment horizontal="center"/>
    </xf>
    <xf numFmtId="0" fontId="20" fillId="33" borderId="33" xfId="0" applyFont="1" applyFill="1" applyBorder="1" applyAlignment="1">
      <alignment horizontal="center"/>
    </xf>
    <xf numFmtId="0" fontId="20" fillId="33" borderId="34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ita_mehta@gmail.com" TargetMode="External"/><Relationship Id="rId1" Type="http://schemas.openxmlformats.org/officeDocument/2006/relationships/hyperlink" Target="mailto:rajivro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78A9-FB8D-4518-8BAD-0A3115BD8A6E}">
  <dimension ref="C1:N28"/>
  <sheetViews>
    <sheetView tabSelected="1" topLeftCell="D15" workbookViewId="0">
      <selection activeCell="H31" sqref="H31"/>
    </sheetView>
  </sheetViews>
  <sheetFormatPr defaultRowHeight="14.5" x14ac:dyDescent="0.35"/>
  <cols>
    <col min="3" max="3" width="7.36328125" bestFit="1" customWidth="1"/>
    <col min="4" max="4" width="13.08984375" customWidth="1"/>
    <col min="5" max="5" width="30" customWidth="1"/>
    <col min="6" max="6" width="32.90625" customWidth="1"/>
    <col min="7" max="7" width="30.6328125" customWidth="1"/>
    <col min="8" max="8" width="16.54296875" customWidth="1"/>
    <col min="9" max="9" width="14.81640625" bestFit="1" customWidth="1"/>
    <col min="10" max="10" width="14.6328125" customWidth="1"/>
    <col min="11" max="11" width="10.81640625" customWidth="1"/>
    <col min="12" max="12" width="9.453125" customWidth="1"/>
    <col min="13" max="14" width="14.1796875" customWidth="1"/>
  </cols>
  <sheetData>
    <row r="1" spans="3:14" x14ac:dyDescent="0.35">
      <c r="C1" s="39" t="s">
        <v>0</v>
      </c>
      <c r="D1" s="39" t="s">
        <v>1</v>
      </c>
      <c r="E1" s="39" t="s">
        <v>2</v>
      </c>
      <c r="F1" s="39" t="s">
        <v>3</v>
      </c>
      <c r="G1" s="39" t="s">
        <v>4</v>
      </c>
      <c r="H1" s="39" t="s">
        <v>5</v>
      </c>
      <c r="I1" s="39" t="s">
        <v>35</v>
      </c>
      <c r="J1" s="39" t="s">
        <v>37</v>
      </c>
      <c r="K1" s="39" t="s">
        <v>38</v>
      </c>
      <c r="L1" s="39" t="s">
        <v>36</v>
      </c>
      <c r="M1" s="39" t="s">
        <v>39</v>
      </c>
      <c r="N1" s="39" t="s">
        <v>44</v>
      </c>
    </row>
    <row r="2" spans="3:14" x14ac:dyDescent="0.35">
      <c r="C2" s="1" t="s">
        <v>6</v>
      </c>
      <c r="D2" s="1" t="s">
        <v>7</v>
      </c>
      <c r="E2" s="1" t="s">
        <v>8</v>
      </c>
      <c r="F2" s="1" t="s">
        <v>42</v>
      </c>
      <c r="G2" s="1" t="s">
        <v>10</v>
      </c>
      <c r="H2" s="1">
        <f>91-9876543210</f>
        <v>-9876543119</v>
      </c>
      <c r="I2" s="1">
        <f>FIND("@company",E2)</f>
        <v>13</v>
      </c>
      <c r="J2" s="1" t="b">
        <f>ISNUMBER(I2)</f>
        <v>1</v>
      </c>
      <c r="K2" s="1" t="str">
        <f>IF(J2,"Valid","invalid")</f>
        <v>Valid</v>
      </c>
      <c r="L2" s="1" t="str">
        <f>IF(ISNUMBER(FIND("@company",E2)),"Valid","invalid")</f>
        <v>Valid</v>
      </c>
      <c r="M2" s="1" t="str">
        <f>RIGHT(SUBSTITUTE(H2," ",""),10)</f>
        <v>9876543119</v>
      </c>
      <c r="N2" s="1" t="str">
        <f>_xlfn.CONCAT(LEFT(M2,2),"******",RIGHT(M2,2))</f>
        <v>98******19</v>
      </c>
    </row>
    <row r="3" spans="3:14" x14ac:dyDescent="0.35">
      <c r="C3" s="1" t="s">
        <v>11</v>
      </c>
      <c r="D3" s="1" t="s">
        <v>12</v>
      </c>
      <c r="E3" s="38" t="s">
        <v>34</v>
      </c>
      <c r="F3" s="1" t="s">
        <v>13</v>
      </c>
      <c r="G3" s="1" t="s">
        <v>14</v>
      </c>
      <c r="H3" s="1" t="s">
        <v>15</v>
      </c>
      <c r="I3" s="1" t="e">
        <f t="shared" ref="I3:I5" si="0">FIND("@company",E3)</f>
        <v>#VALUE!</v>
      </c>
      <c r="J3" s="1" t="b">
        <f t="shared" ref="J3:J5" si="1">ISNUMBER(I3)</f>
        <v>0</v>
      </c>
      <c r="K3" s="1" t="str">
        <f t="shared" ref="K3:K5" si="2">IF(J3,"Valid","invalid")</f>
        <v>invalid</v>
      </c>
      <c r="L3" s="1" t="str">
        <f t="shared" ref="L3:L5" si="3">IF(ISNUMBER(FIND("@company",E3)),"Valid","invalid")</f>
        <v>invalid</v>
      </c>
      <c r="M3" s="1" t="str">
        <f t="shared" ref="M3:M5" si="4">RIGHT(SUBSTITUTE(H3," ",""),10)</f>
        <v>9876543210</v>
      </c>
      <c r="N3" s="1" t="str">
        <f t="shared" ref="N3:N5" si="5">_xlfn.CONCAT(LEFT(M3,2),"******",RIGHT(M3,2))</f>
        <v>98******10</v>
      </c>
    </row>
    <row r="4" spans="3:14" x14ac:dyDescent="0.35">
      <c r="C4" s="1" t="s">
        <v>16</v>
      </c>
      <c r="D4" s="1" t="s">
        <v>17</v>
      </c>
      <c r="E4" s="38" t="s">
        <v>33</v>
      </c>
      <c r="F4" s="1" t="s">
        <v>41</v>
      </c>
      <c r="G4" s="1" t="s">
        <v>18</v>
      </c>
      <c r="H4" s="1" t="s">
        <v>19</v>
      </c>
      <c r="I4" s="1" t="e">
        <f t="shared" si="0"/>
        <v>#VALUE!</v>
      </c>
      <c r="J4" s="1" t="b">
        <f t="shared" si="1"/>
        <v>0</v>
      </c>
      <c r="K4" s="1" t="str">
        <f t="shared" si="2"/>
        <v>invalid</v>
      </c>
      <c r="L4" s="1" t="str">
        <f t="shared" si="3"/>
        <v>invalid</v>
      </c>
      <c r="M4" s="1" t="str">
        <f t="shared" si="4"/>
        <v>9123456789</v>
      </c>
      <c r="N4" s="1" t="str">
        <f t="shared" si="5"/>
        <v>91******89</v>
      </c>
    </row>
    <row r="5" spans="3:14" x14ac:dyDescent="0.35">
      <c r="C5" s="1" t="s">
        <v>20</v>
      </c>
      <c r="D5" s="1" t="s">
        <v>21</v>
      </c>
      <c r="E5" s="1" t="s">
        <v>22</v>
      </c>
      <c r="F5" s="1" t="s">
        <v>9</v>
      </c>
      <c r="G5" s="1" t="s">
        <v>23</v>
      </c>
      <c r="H5" s="1" t="s">
        <v>24</v>
      </c>
      <c r="I5" s="1">
        <f t="shared" si="0"/>
        <v>12</v>
      </c>
      <c r="J5" s="1" t="b">
        <f t="shared" si="1"/>
        <v>1</v>
      </c>
      <c r="K5" s="1" t="str">
        <f t="shared" si="2"/>
        <v>Valid</v>
      </c>
      <c r="L5" s="1" t="str">
        <f t="shared" si="3"/>
        <v>Valid</v>
      </c>
      <c r="M5" s="1" t="str">
        <f t="shared" si="4"/>
        <v>9988776655</v>
      </c>
      <c r="N5" s="1" t="str">
        <f t="shared" si="5"/>
        <v>99******55</v>
      </c>
    </row>
    <row r="6" spans="3:14" ht="15" thickBot="1" x14ac:dyDescent="0.4"/>
    <row r="7" spans="3:14" ht="14.5" customHeight="1" thickBot="1" x14ac:dyDescent="0.4">
      <c r="E7" s="23" t="s">
        <v>25</v>
      </c>
      <c r="F7" s="25" t="s">
        <v>26</v>
      </c>
      <c r="G7" s="26"/>
      <c r="H7" s="29" t="s">
        <v>27</v>
      </c>
      <c r="I7" s="29" t="s">
        <v>28</v>
      </c>
    </row>
    <row r="8" spans="3:14" ht="15" customHeight="1" thickBot="1" x14ac:dyDescent="0.4">
      <c r="E8" s="24"/>
      <c r="F8" s="27"/>
      <c r="G8" s="28"/>
      <c r="H8" s="30"/>
      <c r="I8" s="30"/>
      <c r="K8" s="37"/>
    </row>
    <row r="9" spans="3:14" x14ac:dyDescent="0.35">
      <c r="E9" s="11">
        <f>LEN(D2)</f>
        <v>13</v>
      </c>
      <c r="F9" s="14" t="str">
        <f>TRIM(F2)</f>
        <v>HR-01</v>
      </c>
      <c r="G9" s="7" t="str">
        <f>TRIM(H2)</f>
        <v>-9876543119</v>
      </c>
      <c r="H9" s="6" t="str">
        <f>LEFT(D2,4)</f>
        <v>rahu</v>
      </c>
      <c r="I9" s="8" t="str">
        <f>RIGHT(D2,5)</f>
        <v>harma</v>
      </c>
    </row>
    <row r="10" spans="3:14" x14ac:dyDescent="0.35">
      <c r="E10" s="12">
        <f t="shared" ref="E10:E11" si="6">LEN(D3)</f>
        <v>11</v>
      </c>
      <c r="F10" s="15" t="str">
        <f t="shared" ref="F10:F12" si="7">TRIM(F3)</f>
        <v>FIN-02</v>
      </c>
      <c r="G10" s="3" t="str">
        <f t="shared" ref="G10:G12" si="8">TRIM(H3)</f>
        <v>98765 43210</v>
      </c>
      <c r="H10" s="2" t="str">
        <f t="shared" ref="H10:H12" si="9">LEFT(D3,4)</f>
        <v>ANIT</v>
      </c>
      <c r="I10" s="9" t="str">
        <f t="shared" ref="I10:I12" si="10">RIGHT(D3,5)</f>
        <v>Mehta</v>
      </c>
    </row>
    <row r="11" spans="3:14" x14ac:dyDescent="0.35">
      <c r="E11" s="12">
        <f t="shared" si="6"/>
        <v>9</v>
      </c>
      <c r="F11" s="15" t="str">
        <f t="shared" si="7"/>
        <v>IT-033</v>
      </c>
      <c r="G11" s="3" t="str">
        <f t="shared" si="8"/>
        <v>+91 9123456789</v>
      </c>
      <c r="H11" s="2" t="str">
        <f t="shared" si="9"/>
        <v>Raji</v>
      </c>
      <c r="I11" s="9" t="str">
        <f t="shared" si="10"/>
        <v>v Roy</v>
      </c>
    </row>
    <row r="12" spans="3:14" ht="15" thickBot="1" x14ac:dyDescent="0.4">
      <c r="E12" s="13">
        <f>LEN(D5)</f>
        <v>11</v>
      </c>
      <c r="F12" s="16" t="str">
        <f t="shared" si="7"/>
        <v>HR-01</v>
      </c>
      <c r="G12" s="5" t="str">
        <f t="shared" si="8"/>
        <v>091-9988776655</v>
      </c>
      <c r="H12" s="4" t="str">
        <f t="shared" si="9"/>
        <v>sneh</v>
      </c>
      <c r="I12" s="10" t="str">
        <f t="shared" si="10"/>
        <v>patel</v>
      </c>
    </row>
    <row r="13" spans="3:14" ht="14.5" customHeight="1" x14ac:dyDescent="0.35">
      <c r="E13" s="17"/>
      <c r="F13" s="34"/>
      <c r="G13" s="34"/>
      <c r="H13" s="17"/>
      <c r="I13" s="17"/>
      <c r="J13" s="17"/>
    </row>
    <row r="14" spans="3:14" ht="15" customHeight="1" thickBot="1" x14ac:dyDescent="0.4">
      <c r="E14" s="35"/>
      <c r="F14" s="36"/>
      <c r="G14" s="34"/>
      <c r="H14" s="35"/>
      <c r="I14" s="17"/>
      <c r="J14" s="17"/>
    </row>
    <row r="15" spans="3:14" x14ac:dyDescent="0.35">
      <c r="E15" s="31" t="s">
        <v>30</v>
      </c>
      <c r="F15" s="29" t="s">
        <v>29</v>
      </c>
      <c r="G15" s="29" t="s">
        <v>32</v>
      </c>
      <c r="H15" s="29" t="s">
        <v>31</v>
      </c>
      <c r="I15" s="17"/>
      <c r="J15" s="17"/>
    </row>
    <row r="16" spans="3:14" ht="15" thickBot="1" x14ac:dyDescent="0.4">
      <c r="E16" s="32"/>
      <c r="F16" s="33"/>
      <c r="G16" s="33"/>
      <c r="H16" s="33"/>
      <c r="I16" s="17"/>
      <c r="J16" s="17"/>
    </row>
    <row r="17" spans="5:10" ht="15" thickBot="1" x14ac:dyDescent="0.4">
      <c r="E17" s="6" t="str">
        <f>MID(E2,13,8)</f>
        <v>@company</v>
      </c>
      <c r="F17" s="22" t="str">
        <f>SUBSTITUTE(D2,"."," ")</f>
        <v>rahul  sharma</v>
      </c>
      <c r="G17" s="22" t="e">
        <f>FIND("Rahul",E2)</f>
        <v>#VALUE!</v>
      </c>
      <c r="H17" s="8">
        <f>SEARCH("@",E2)</f>
        <v>13</v>
      </c>
      <c r="I17" s="17"/>
      <c r="J17" s="17"/>
    </row>
    <row r="18" spans="5:10" ht="15" thickBot="1" x14ac:dyDescent="0.4">
      <c r="E18" s="2" t="str">
        <f t="shared" ref="E18:E20" si="11">MID(E3,13,8)</f>
        <v>gmail.co</v>
      </c>
      <c r="F18" s="1" t="str">
        <f t="shared" ref="F18:F20" si="12">SUBSTITUTE(D3,"."," ")</f>
        <v>ANITA Mehta</v>
      </c>
      <c r="G18" s="22">
        <f t="shared" ref="G18:G20" si="13">FIND("@",E3)</f>
        <v>12</v>
      </c>
      <c r="H18" s="8">
        <f t="shared" ref="H18:H20" si="14">SEARCH("@",E3)</f>
        <v>12</v>
      </c>
      <c r="I18" s="17"/>
      <c r="J18" s="17"/>
    </row>
    <row r="19" spans="5:10" ht="15" thickBot="1" x14ac:dyDescent="0.4">
      <c r="E19" s="2" t="str">
        <f t="shared" si="11"/>
        <v>oo.com</v>
      </c>
      <c r="F19" s="1" t="str">
        <f t="shared" si="12"/>
        <v>Rajiv Roy</v>
      </c>
      <c r="G19" s="22">
        <f t="shared" si="13"/>
        <v>9</v>
      </c>
      <c r="H19" s="8">
        <f t="shared" si="14"/>
        <v>9</v>
      </c>
      <c r="I19" s="17"/>
      <c r="J19" s="17"/>
    </row>
    <row r="20" spans="5:10" ht="15" thickBot="1" x14ac:dyDescent="0.4">
      <c r="E20" s="4" t="str">
        <f t="shared" si="11"/>
        <v>company.</v>
      </c>
      <c r="F20" s="18" t="str">
        <f t="shared" si="12"/>
        <v>sneha patel</v>
      </c>
      <c r="G20" s="22">
        <f t="shared" si="13"/>
        <v>12</v>
      </c>
      <c r="H20" s="8">
        <f t="shared" si="14"/>
        <v>12</v>
      </c>
      <c r="I20" s="17"/>
      <c r="J20" s="17"/>
    </row>
    <row r="21" spans="5:10" ht="15" thickBot="1" x14ac:dyDescent="0.4">
      <c r="E21" s="19"/>
      <c r="F21" s="20"/>
      <c r="G21" s="20"/>
      <c r="H21" s="21"/>
      <c r="I21" s="17"/>
      <c r="J21" s="17"/>
    </row>
    <row r="22" spans="5:10" ht="15" thickBot="1" x14ac:dyDescent="0.4"/>
    <row r="23" spans="5:10" x14ac:dyDescent="0.35">
      <c r="E23" s="40" t="s">
        <v>40</v>
      </c>
      <c r="F23" s="40" t="s">
        <v>43</v>
      </c>
      <c r="G23" s="40" t="s">
        <v>46</v>
      </c>
      <c r="H23" s="42" t="s">
        <v>45</v>
      </c>
    </row>
    <row r="24" spans="5:10" ht="15" thickBot="1" x14ac:dyDescent="0.4">
      <c r="E24" s="41"/>
      <c r="F24" s="41"/>
      <c r="G24" s="41"/>
      <c r="H24" s="43"/>
    </row>
    <row r="25" spans="5:10" x14ac:dyDescent="0.35">
      <c r="E25" s="6" t="str">
        <f>PROPER(SUBSTITUTE(D2,"."," "))</f>
        <v>Rahul  Sharma</v>
      </c>
      <c r="F25" s="22" t="str">
        <f>RIGHT(F2,LEN(F2)-FIND("-",F2))</f>
        <v xml:space="preserve">01   </v>
      </c>
      <c r="G25" s="22" t="str">
        <f>LEFT(F2,FIND("-",F2)-1)</f>
        <v>HR</v>
      </c>
      <c r="H25" s="8" t="str">
        <f>_xlfn.CONCAT(LEFT(M2,2),"*****",RIGHT(M2,2))</f>
        <v>98*****19</v>
      </c>
    </row>
    <row r="26" spans="5:10" x14ac:dyDescent="0.35">
      <c r="E26" s="2" t="str">
        <f t="shared" ref="E26:E28" si="15">PROPER(SUBSTITUTE(D3,"."," "))</f>
        <v>Anita Mehta</v>
      </c>
      <c r="F26" s="1" t="str">
        <f t="shared" ref="F26:F28" si="16">RIGHT(F3,LEN(F3)-FIND("-",F3))</f>
        <v>02</v>
      </c>
      <c r="G26" s="1" t="str">
        <f t="shared" ref="G26:G28" si="17">LEFT(F3,FIND("-",F3)-1)</f>
        <v>FIN</v>
      </c>
      <c r="H26" s="9" t="str">
        <f t="shared" ref="H26:H28" si="18">_xlfn.CONCAT(LEFT(M3,2),"*****",RIGHT(M3,2))</f>
        <v>98*****10</v>
      </c>
    </row>
    <row r="27" spans="5:10" x14ac:dyDescent="0.35">
      <c r="E27" s="2" t="str">
        <f t="shared" si="15"/>
        <v>Rajiv Roy</v>
      </c>
      <c r="F27" s="1" t="str">
        <f t="shared" si="16"/>
        <v>033</v>
      </c>
      <c r="G27" s="1" t="str">
        <f t="shared" si="17"/>
        <v>IT</v>
      </c>
      <c r="H27" s="9" t="str">
        <f t="shared" si="18"/>
        <v>91*****89</v>
      </c>
    </row>
    <row r="28" spans="5:10" ht="15" thickBot="1" x14ac:dyDescent="0.4">
      <c r="E28" s="4" t="str">
        <f t="shared" si="15"/>
        <v>Sneha Patel</v>
      </c>
      <c r="F28" s="18" t="str">
        <f t="shared" si="16"/>
        <v>01</v>
      </c>
      <c r="G28" s="18" t="str">
        <f t="shared" si="17"/>
        <v>HR</v>
      </c>
      <c r="H28" s="10" t="str">
        <f t="shared" si="18"/>
        <v>99*****55</v>
      </c>
    </row>
  </sheetData>
  <mergeCells count="12">
    <mergeCell ref="G15:G16"/>
    <mergeCell ref="H15:H16"/>
    <mergeCell ref="E23:E24"/>
    <mergeCell ref="F23:F24"/>
    <mergeCell ref="G23:G24"/>
    <mergeCell ref="H23:H24"/>
    <mergeCell ref="E7:E8"/>
    <mergeCell ref="F7:G8"/>
    <mergeCell ref="H7:H8"/>
    <mergeCell ref="I7:I8"/>
    <mergeCell ref="E15:E16"/>
    <mergeCell ref="F15:F16"/>
  </mergeCells>
  <hyperlinks>
    <hyperlink ref="E4" r:id="rId1" xr:uid="{2B06CE12-9B28-4F2F-929A-FF3EE3526148}"/>
    <hyperlink ref="E3" r:id="rId2" xr:uid="{327BD36B-B9BC-4638-B900-F3EC0F9769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2026-01-30T04:24:40Z</dcterms:created>
  <dcterms:modified xsi:type="dcterms:W3CDTF">2026-01-31T05:01:15Z</dcterms:modified>
</cp:coreProperties>
</file>