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\OneDrive\Desktop\EXCEL\"/>
    </mc:Choice>
  </mc:AlternateContent>
  <xr:revisionPtr revIDLastSave="0" documentId="13_ncr:1_{0E9D9530-D5D8-4056-818B-317569153548}" xr6:coauthVersionLast="47" xr6:coauthVersionMax="47" xr10:uidLastSave="{00000000-0000-0000-0000-000000000000}"/>
  <bookViews>
    <workbookView xWindow="-110" yWindow="-110" windowWidth="19420" windowHeight="11020" activeTab="2" xr2:uid="{E5E349E5-F264-4E5F-9589-7DC0BCE40F6B}"/>
  </bookViews>
  <sheets>
    <sheet name="result" sheetId="1" r:id="rId1"/>
    <sheet name="vlookup" sheetId="2" r:id="rId2"/>
    <sheet name="Sheet1" sheetId="5" r:id="rId3"/>
    <sheet name="hlookup" sheetId="3" r:id="rId4"/>
    <sheet name="Xlookup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6" i="2" l="1"/>
  <c r="O20" i="4" a="1"/>
  <c r="O20" i="4" s="1"/>
  <c r="J21" i="4" a="1"/>
  <c r="J21" i="4" s="1"/>
  <c r="J17" i="4"/>
  <c r="J13" i="4"/>
  <c r="I8" i="4"/>
  <c r="I7" i="4"/>
  <c r="J18" i="3"/>
  <c r="K17" i="3"/>
  <c r="L12" i="3"/>
  <c r="M12" i="3"/>
  <c r="N12" i="3"/>
  <c r="O12" i="3"/>
  <c r="P12" i="3"/>
  <c r="Q12" i="3"/>
  <c r="R12" i="3"/>
  <c r="S12" i="3"/>
  <c r="T12" i="3"/>
  <c r="U12" i="3"/>
  <c r="K12" i="3"/>
  <c r="K5" i="3"/>
  <c r="M19" i="2"/>
  <c r="M20" i="2"/>
  <c r="M21" i="2"/>
  <c r="M22" i="2"/>
  <c r="M18" i="2"/>
  <c r="N13" i="2"/>
  <c r="O13" i="2"/>
  <c r="P13" i="2"/>
  <c r="Q13" i="2"/>
  <c r="M13" i="2"/>
  <c r="M7" i="2" a="1"/>
  <c r="M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<sst xmlns="http://schemas.openxmlformats.org/spreadsheetml/2006/main" count="374" uniqueCount="104">
  <si>
    <t>Class 7th Result</t>
  </si>
  <si>
    <t>Roll No</t>
  </si>
  <si>
    <t>Student Name</t>
  </si>
  <si>
    <t>English</t>
  </si>
  <si>
    <t>Maths</t>
  </si>
  <si>
    <t>Science</t>
  </si>
  <si>
    <t>Social</t>
  </si>
  <si>
    <t>Computer</t>
  </si>
  <si>
    <t>Total</t>
  </si>
  <si>
    <t>Persentage</t>
  </si>
  <si>
    <t>Result</t>
  </si>
  <si>
    <t>No of Student Passed</t>
  </si>
  <si>
    <t>Aarav Sharma</t>
  </si>
  <si>
    <t>Pass</t>
  </si>
  <si>
    <t>No of Student Faild</t>
  </si>
  <si>
    <t>Ananya Verma</t>
  </si>
  <si>
    <t>No of Student Supp</t>
  </si>
  <si>
    <t>Rohit Kumar</t>
  </si>
  <si>
    <t>supp</t>
  </si>
  <si>
    <t>Topper Of Class</t>
  </si>
  <si>
    <t>Priya Singh</t>
  </si>
  <si>
    <t>Bottom Of Class</t>
  </si>
  <si>
    <t>Aman Gupta</t>
  </si>
  <si>
    <t>Fail</t>
  </si>
  <si>
    <t>No. of Student Fail in One Subject</t>
  </si>
  <si>
    <t>Neha Patel</t>
  </si>
  <si>
    <t>No. of Student Fail in Two Subject (supply)</t>
  </si>
  <si>
    <t>Max Marks</t>
  </si>
  <si>
    <t>Rahul Mishra</t>
  </si>
  <si>
    <t>No. of Student Eligible for grace</t>
  </si>
  <si>
    <t>Pass Marks</t>
  </si>
  <si>
    <t>Kavya Jain</t>
  </si>
  <si>
    <t>No. of Student Get Distinction</t>
  </si>
  <si>
    <t>Suresh Yadav</t>
  </si>
  <si>
    <t>Pooja Mehta</t>
  </si>
  <si>
    <t>Arjun Malhotra</t>
  </si>
  <si>
    <t>Simran Kaur</t>
  </si>
  <si>
    <t>Vikas Choudhary</t>
  </si>
  <si>
    <t>Ritu Saxena</t>
  </si>
  <si>
    <t>Manish Pandey</t>
  </si>
  <si>
    <t>Nidhi Bansal</t>
  </si>
  <si>
    <t>Ashish Tiwari</t>
  </si>
  <si>
    <t>Sonal Agarwal</t>
  </si>
  <si>
    <t>Dinesh Rawat</t>
  </si>
  <si>
    <t>Isha Kapoor</t>
  </si>
  <si>
    <t>Deepak Joshi</t>
  </si>
  <si>
    <t>Shreya Nair</t>
  </si>
  <si>
    <t>Kunal Thakur</t>
  </si>
  <si>
    <t>Pankaj Verma</t>
  </si>
  <si>
    <t>Meenal Arora</t>
  </si>
  <si>
    <t>Naveen Solanki</t>
  </si>
  <si>
    <t>Riya Chatterjee</t>
  </si>
  <si>
    <t>Sunil Chauhan</t>
  </si>
  <si>
    <t>Alok Srivastava</t>
  </si>
  <si>
    <t>Tanya Bhardwaj</t>
  </si>
  <si>
    <t>Mukesh Pal</t>
  </si>
  <si>
    <t>Aditi Kulkarni</t>
  </si>
  <si>
    <t>Harsh Vardhan</t>
  </si>
  <si>
    <t>Seema Rani</t>
  </si>
  <si>
    <t>Yash Khanna</t>
  </si>
  <si>
    <t>Rajeev Saxena</t>
  </si>
  <si>
    <t>Monika Sethi</t>
  </si>
  <si>
    <t>Balram Nishad</t>
  </si>
  <si>
    <t>Shubham Dubey</t>
  </si>
  <si>
    <t>Pallavi Deshpande</t>
  </si>
  <si>
    <t>Prakash Jha</t>
  </si>
  <si>
    <t>Sneha Iyer</t>
  </si>
  <si>
    <t>Ajay Rana</t>
  </si>
  <si>
    <t>Kiran Pawar</t>
  </si>
  <si>
    <t>Naman Goyal</t>
  </si>
  <si>
    <t>Rekha Menon</t>
  </si>
  <si>
    <t>Suraj Patil</t>
  </si>
  <si>
    <t>Ishita Banerjee</t>
  </si>
  <si>
    <t>Mohit Bhatia</t>
  </si>
  <si>
    <t>Preeti Kulshreshtha</t>
  </si>
  <si>
    <t xml:space="preserve">Total </t>
  </si>
  <si>
    <t>Average</t>
  </si>
  <si>
    <t xml:space="preserve">Vlookup </t>
  </si>
  <si>
    <t>Summary</t>
  </si>
  <si>
    <t xml:space="preserve">Vlookup column Wise </t>
  </si>
  <si>
    <t xml:space="preserve">Vlookup Row </t>
  </si>
  <si>
    <t xml:space="preserve"> </t>
  </si>
  <si>
    <t xml:space="preserve">Hlookup </t>
  </si>
  <si>
    <t>Hlookup column wise</t>
  </si>
  <si>
    <t>Name/Sub</t>
  </si>
  <si>
    <t>Match funtion</t>
  </si>
  <si>
    <t>Index Function</t>
  </si>
  <si>
    <t>Match or Index</t>
  </si>
  <si>
    <t>Xlookup with Roll number</t>
  </si>
  <si>
    <t>Xlookup with multiple value</t>
  </si>
  <si>
    <t>Xlookup With Nesting</t>
  </si>
  <si>
    <t>Horizontal (hlookup right shift value)</t>
  </si>
  <si>
    <t>Varticle (hlookup right shift value)</t>
  </si>
  <si>
    <t>Xlookup (xlookup left and right side value)</t>
  </si>
  <si>
    <t>Xlookup With Aproximate Value</t>
  </si>
  <si>
    <t>A</t>
  </si>
  <si>
    <t>B</t>
  </si>
  <si>
    <t>C</t>
  </si>
  <si>
    <t>D</t>
  </si>
  <si>
    <t>E</t>
  </si>
  <si>
    <t>Vlookup With Aproximate Value</t>
  </si>
  <si>
    <t>1.Approximate match in vlook up .</t>
  </si>
  <si>
    <t>A) First Arrenge loock up arrey in Ascending order</t>
  </si>
  <si>
    <t>B) Lookup Value must be greter then smallest 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</si>
</sst>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9">
    <xf numFmtId="0" fontId="0" fillId="0" borderId="0" xfId="0"/>
    <xf numFmtId="0" fontId="0" fillId="0" borderId="10" xfId="0" applyBorder="1"/>
    <xf numFmtId="0" fontId="0" fillId="34" borderId="10" xfId="0" applyFill="1" applyBorder="1"/>
    <xf numFmtId="0" fontId="0" fillId="36" borderId="10" xfId="0" applyFill="1" applyBorder="1"/>
    <xf numFmtId="0" fontId="0" fillId="36" borderId="11" xfId="0" applyFill="1" applyBorder="1"/>
    <xf numFmtId="0" fontId="0" fillId="0" borderId="28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20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9" fontId="20" fillId="33" borderId="10" xfId="1" applyFont="1" applyFill="1" applyBorder="1" applyAlignment="1">
      <alignment horizontal="center"/>
    </xf>
    <xf numFmtId="9" fontId="0" fillId="33" borderId="10" xfId="1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21" fillId="33" borderId="31" xfId="0" applyFont="1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38" xfId="0" applyFill="1" applyBorder="1" applyAlignment="1">
      <alignment horizontal="center"/>
    </xf>
    <xf numFmtId="0" fontId="0" fillId="33" borderId="17" xfId="0" applyFill="1" applyBorder="1" applyAlignment="1">
      <alignment horizontal="center"/>
    </xf>
    <xf numFmtId="0" fontId="0" fillId="33" borderId="18" xfId="0" applyFill="1" applyBorder="1" applyAlignment="1">
      <alignment horizontal="center"/>
    </xf>
    <xf numFmtId="0" fontId="0" fillId="33" borderId="19" xfId="0" applyFill="1" applyBorder="1" applyAlignment="1">
      <alignment horizontal="center"/>
    </xf>
    <xf numFmtId="0" fontId="21" fillId="33" borderId="12" xfId="0" applyFont="1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3" borderId="14" xfId="0" applyFill="1" applyBorder="1" applyAlignment="1">
      <alignment horizontal="center"/>
    </xf>
    <xf numFmtId="0" fontId="19" fillId="33" borderId="12" xfId="0" applyFont="1" applyFill="1" applyBorder="1" applyAlignment="1">
      <alignment horizontal="center"/>
    </xf>
    <xf numFmtId="0" fontId="19" fillId="33" borderId="13" xfId="0" applyFont="1" applyFill="1" applyBorder="1" applyAlignment="1">
      <alignment horizontal="center"/>
    </xf>
    <xf numFmtId="0" fontId="19" fillId="33" borderId="14" xfId="0" applyFont="1" applyFill="1" applyBorder="1" applyAlignment="1">
      <alignment horizontal="center"/>
    </xf>
    <xf numFmtId="0" fontId="19" fillId="33" borderId="15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/>
    </xf>
    <xf numFmtId="0" fontId="19" fillId="33" borderId="17" xfId="0" applyFont="1" applyFill="1" applyBorder="1" applyAlignment="1">
      <alignment horizontal="center"/>
    </xf>
    <xf numFmtId="0" fontId="19" fillId="33" borderId="18" xfId="0" applyFont="1" applyFill="1" applyBorder="1" applyAlignment="1">
      <alignment horizontal="center"/>
    </xf>
    <xf numFmtId="0" fontId="19" fillId="33" borderId="19" xfId="0" applyFont="1" applyFill="1" applyBorder="1" applyAlignment="1">
      <alignment horizontal="center"/>
    </xf>
    <xf numFmtId="0" fontId="21" fillId="37" borderId="12" xfId="0" applyFont="1" applyFill="1" applyBorder="1" applyAlignment="1">
      <alignment horizontal="center"/>
    </xf>
    <xf numFmtId="0" fontId="21" fillId="37" borderId="13" xfId="0" applyFont="1" applyFill="1" applyBorder="1" applyAlignment="1">
      <alignment horizontal="center"/>
    </xf>
    <xf numFmtId="0" fontId="21" fillId="37" borderId="14" xfId="0" applyFont="1" applyFill="1" applyBorder="1" applyAlignment="1">
      <alignment horizontal="center"/>
    </xf>
    <xf numFmtId="0" fontId="21" fillId="37" borderId="17" xfId="0" applyFont="1" applyFill="1" applyBorder="1" applyAlignment="1">
      <alignment horizontal="center"/>
    </xf>
    <xf numFmtId="0" fontId="21" fillId="37" borderId="18" xfId="0" applyFont="1" applyFill="1" applyBorder="1" applyAlignment="1">
      <alignment horizontal="center"/>
    </xf>
    <xf numFmtId="0" fontId="21" fillId="37" borderId="19" xfId="0" applyFont="1" applyFill="1" applyBorder="1" applyAlignment="1">
      <alignment horizontal="center"/>
    </xf>
    <xf numFmtId="0" fontId="22" fillId="33" borderId="12" xfId="0" applyFont="1" applyFill="1" applyBorder="1" applyAlignment="1">
      <alignment horizontal="center"/>
    </xf>
    <xf numFmtId="0" fontId="22" fillId="33" borderId="13" xfId="0" applyFont="1" applyFill="1" applyBorder="1" applyAlignment="1">
      <alignment horizontal="center"/>
    </xf>
    <xf numFmtId="0" fontId="22" fillId="33" borderId="14" xfId="0" applyFont="1" applyFill="1" applyBorder="1" applyAlignment="1">
      <alignment horizontal="center"/>
    </xf>
    <xf numFmtId="0" fontId="22" fillId="33" borderId="17" xfId="0" applyFont="1" applyFill="1" applyBorder="1" applyAlignment="1">
      <alignment horizontal="center"/>
    </xf>
    <xf numFmtId="0" fontId="22" fillId="33" borderId="18" xfId="0" applyFont="1" applyFill="1" applyBorder="1" applyAlignment="1">
      <alignment horizontal="center"/>
    </xf>
    <xf numFmtId="0" fontId="22" fillId="33" borderId="19" xfId="0" applyFont="1" applyFill="1" applyBorder="1" applyAlignment="1">
      <alignment horizontal="center"/>
    </xf>
    <xf numFmtId="0" fontId="23" fillId="33" borderId="12" xfId="0" applyFont="1" applyFill="1" applyBorder="1" applyAlignment="1">
      <alignment horizontal="center"/>
    </xf>
    <xf numFmtId="0" fontId="23" fillId="33" borderId="13" xfId="0" applyFont="1" applyFill="1" applyBorder="1" applyAlignment="1">
      <alignment horizontal="center"/>
    </xf>
    <xf numFmtId="0" fontId="23" fillId="33" borderId="14" xfId="0" applyFont="1" applyFill="1" applyBorder="1" applyAlignment="1">
      <alignment horizontal="center"/>
    </xf>
    <xf numFmtId="0" fontId="23" fillId="33" borderId="17" xfId="0" applyFont="1" applyFill="1" applyBorder="1" applyAlignment="1">
      <alignment horizontal="center"/>
    </xf>
    <xf numFmtId="0" fontId="23" fillId="33" borderId="18" xfId="0" applyFont="1" applyFill="1" applyBorder="1" applyAlignment="1">
      <alignment horizontal="center"/>
    </xf>
    <xf numFmtId="0" fontId="23" fillId="33" borderId="19" xfId="0" applyFont="1" applyFill="1" applyBorder="1" applyAlignment="1">
      <alignment horizontal="center"/>
    </xf>
    <xf numFmtId="0" fontId="24" fillId="38" borderId="20" xfId="0" applyFont="1" applyFill="1" applyBorder="1" applyAlignment="1">
      <alignment horizontal="center"/>
    </xf>
    <xf numFmtId="0" fontId="24" fillId="38" borderId="21" xfId="0" applyFont="1" applyFill="1" applyBorder="1" applyAlignment="1">
      <alignment horizontal="center"/>
    </xf>
    <xf numFmtId="0" fontId="24" fillId="38" borderId="22" xfId="0" applyFont="1" applyFill="1" applyBorder="1" applyAlignment="1">
      <alignment horizontal="center"/>
    </xf>
    <xf numFmtId="0" fontId="24" fillId="38" borderId="23" xfId="0" applyFont="1" applyFill="1" applyBorder="1" applyAlignment="1">
      <alignment horizontal="center"/>
    </xf>
    <xf numFmtId="0" fontId="24" fillId="38" borderId="0" xfId="0" applyFont="1" applyFill="1" applyAlignment="1">
      <alignment horizontal="center"/>
    </xf>
    <xf numFmtId="0" fontId="24" fillId="38" borderId="24" xfId="0" applyFont="1" applyFill="1" applyBorder="1" applyAlignment="1">
      <alignment horizontal="center"/>
    </xf>
    <xf numFmtId="0" fontId="24" fillId="38" borderId="25" xfId="0" applyFont="1" applyFill="1" applyBorder="1" applyAlignment="1">
      <alignment horizontal="center"/>
    </xf>
    <xf numFmtId="0" fontId="24" fillId="38" borderId="26" xfId="0" applyFont="1" applyFill="1" applyBorder="1" applyAlignment="1">
      <alignment horizontal="center"/>
    </xf>
    <xf numFmtId="0" fontId="24" fillId="38" borderId="27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22" fillId="33" borderId="42" xfId="0" applyFont="1" applyFill="1" applyBorder="1" applyAlignment="1">
      <alignment horizontal="center"/>
    </xf>
    <xf numFmtId="0" fontId="22" fillId="33" borderId="43" xfId="0" applyFont="1" applyFill="1" applyBorder="1" applyAlignment="1">
      <alignment horizontal="center"/>
    </xf>
    <xf numFmtId="0" fontId="21" fillId="37" borderId="0" xfId="0" applyFont="1" applyFill="1" applyBorder="1" applyAlignment="1">
      <alignment horizontal="center"/>
    </xf>
    <xf numFmtId="0" fontId="21" fillId="37" borderId="42" xfId="0" applyFont="1" applyFill="1" applyBorder="1" applyAlignment="1">
      <alignment horizontal="center"/>
    </xf>
    <xf numFmtId="0" fontId="22" fillId="34" borderId="20" xfId="0" applyFont="1" applyFill="1" applyBorder="1" applyAlignment="1">
      <alignment horizontal="center"/>
    </xf>
    <xf numFmtId="0" fontId="22" fillId="34" borderId="21" xfId="0" applyFont="1" applyFill="1" applyBorder="1" applyAlignment="1">
      <alignment horizontal="center"/>
    </xf>
    <xf numFmtId="0" fontId="22" fillId="34" borderId="22" xfId="0" applyFont="1" applyFill="1" applyBorder="1" applyAlignment="1">
      <alignment horizontal="center"/>
    </xf>
    <xf numFmtId="0" fontId="22" fillId="34" borderId="25" xfId="0" applyFont="1" applyFill="1" applyBorder="1" applyAlignment="1">
      <alignment horizontal="center"/>
    </xf>
    <xf numFmtId="0" fontId="22" fillId="34" borderId="26" xfId="0" applyFont="1" applyFill="1" applyBorder="1" applyAlignment="1">
      <alignment horizontal="center"/>
    </xf>
    <xf numFmtId="0" fontId="22" fillId="34" borderId="27" xfId="0" applyFont="1" applyFill="1" applyBorder="1" applyAlignment="1">
      <alignment horizontal="center"/>
    </xf>
    <xf numFmtId="0" fontId="21" fillId="37" borderId="20" xfId="0" applyFont="1" applyFill="1" applyBorder="1" applyAlignment="1">
      <alignment horizontal="center"/>
    </xf>
    <xf numFmtId="0" fontId="21" fillId="37" borderId="21" xfId="0" applyFont="1" applyFill="1" applyBorder="1" applyAlignment="1">
      <alignment horizontal="center"/>
    </xf>
    <xf numFmtId="0" fontId="21" fillId="37" borderId="22" xfId="0" applyFont="1" applyFill="1" applyBorder="1" applyAlignment="1">
      <alignment horizontal="center"/>
    </xf>
    <xf numFmtId="0" fontId="18" fillId="33" borderId="15" xfId="0" applyFont="1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34" borderId="15" xfId="0" applyFill="1" applyBorder="1"/>
    <xf numFmtId="0" fontId="0" fillId="35" borderId="15" xfId="0" applyFill="1" applyBorder="1"/>
    <xf numFmtId="0" fontId="0" fillId="35" borderId="17" xfId="0" applyFill="1" applyBorder="1"/>
    <xf numFmtId="0" fontId="21" fillId="37" borderId="24" xfId="0" applyFont="1" applyFill="1" applyBorder="1" applyAlignment="1">
      <alignment horizontal="center"/>
    </xf>
    <xf numFmtId="0" fontId="22" fillId="33" borderId="20" xfId="0" applyFont="1" applyFill="1" applyBorder="1" applyAlignment="1">
      <alignment horizontal="center"/>
    </xf>
    <xf numFmtId="0" fontId="22" fillId="33" borderId="21" xfId="0" applyFont="1" applyFill="1" applyBorder="1" applyAlignment="1">
      <alignment horizontal="center"/>
    </xf>
    <xf numFmtId="0" fontId="22" fillId="33" borderId="22" xfId="0" applyFont="1" applyFill="1" applyBorder="1" applyAlignment="1">
      <alignment horizontal="center"/>
    </xf>
    <xf numFmtId="0" fontId="22" fillId="33" borderId="44" xfId="0" applyFont="1" applyFill="1" applyBorder="1" applyAlignment="1">
      <alignment horizontal="center"/>
    </xf>
    <xf numFmtId="0" fontId="0" fillId="0" borderId="45" xfId="0" applyBorder="1"/>
    <xf numFmtId="0" fontId="0" fillId="0" borderId="46" xfId="0" applyBorder="1"/>
    <xf numFmtId="0" fontId="21" fillId="37" borderId="23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0" fillId="34" borderId="16" xfId="0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9EBBC-C0EB-4276-8408-8FD3B1C94371}">
  <dimension ref="A2:S57"/>
  <sheetViews>
    <sheetView topLeftCell="G1" workbookViewId="0">
      <selection activeCell="P18" sqref="P18"/>
    </sheetView>
  </sheetViews>
  <sheetFormatPr defaultRowHeight="14.5" x14ac:dyDescent="0.35"/>
  <cols>
    <col min="1" max="1" width="10.08984375" bestFit="1" customWidth="1"/>
    <col min="2" max="2" width="3.81640625" bestFit="1" customWidth="1"/>
    <col min="18" max="18" width="36.26953125" bestFit="1" customWidth="1"/>
    <col min="19" max="19" width="2.81640625" bestFit="1" customWidth="1"/>
  </cols>
  <sheetData>
    <row r="2" spans="1:19" x14ac:dyDescent="0.35">
      <c r="E2" s="27" t="s">
        <v>0</v>
      </c>
      <c r="F2" s="28"/>
      <c r="G2" s="28"/>
      <c r="H2" s="28"/>
      <c r="I2" s="28"/>
      <c r="J2" s="28"/>
      <c r="K2" s="28"/>
      <c r="L2" s="28"/>
      <c r="M2" s="28"/>
      <c r="N2" s="28"/>
    </row>
    <row r="3" spans="1:19" x14ac:dyDescent="0.35">
      <c r="E3" s="28"/>
      <c r="F3" s="28"/>
      <c r="G3" s="28"/>
      <c r="H3" s="28"/>
      <c r="I3" s="28"/>
      <c r="J3" s="28"/>
      <c r="K3" s="28"/>
      <c r="L3" s="28"/>
      <c r="M3" s="28"/>
      <c r="N3" s="28"/>
      <c r="R3" s="25" t="s">
        <v>78</v>
      </c>
      <c r="S3" s="26"/>
    </row>
    <row r="4" spans="1:19" x14ac:dyDescent="0.35">
      <c r="E4" s="28"/>
      <c r="F4" s="28"/>
      <c r="G4" s="28"/>
      <c r="H4" s="28"/>
      <c r="I4" s="28"/>
      <c r="J4" s="28"/>
      <c r="K4" s="28"/>
      <c r="L4" s="28"/>
      <c r="M4" s="28"/>
      <c r="N4" s="28"/>
      <c r="R4" s="26"/>
      <c r="S4" s="26"/>
    </row>
    <row r="5" spans="1:19" x14ac:dyDescent="0.35">
      <c r="E5" s="2" t="s">
        <v>1</v>
      </c>
      <c r="F5" s="2" t="s">
        <v>2</v>
      </c>
      <c r="G5" s="2" t="s">
        <v>3</v>
      </c>
      <c r="H5" s="2" t="s">
        <v>4</v>
      </c>
      <c r="I5" s="2" t="s">
        <v>5</v>
      </c>
      <c r="J5" s="2" t="s">
        <v>6</v>
      </c>
      <c r="K5" s="2" t="s">
        <v>7</v>
      </c>
      <c r="L5" s="2" t="s">
        <v>8</v>
      </c>
      <c r="M5" s="2" t="s">
        <v>9</v>
      </c>
      <c r="N5" s="2" t="s">
        <v>10</v>
      </c>
      <c r="R5" s="2" t="s">
        <v>11</v>
      </c>
      <c r="S5" s="1">
        <v>37</v>
      </c>
    </row>
    <row r="6" spans="1:19" x14ac:dyDescent="0.35">
      <c r="E6" s="1">
        <v>1</v>
      </c>
      <c r="F6" s="1" t="s">
        <v>12</v>
      </c>
      <c r="G6" s="1">
        <v>68</v>
      </c>
      <c r="H6" s="1">
        <v>72</v>
      </c>
      <c r="I6" s="1">
        <v>70</v>
      </c>
      <c r="J6" s="1">
        <v>66</v>
      </c>
      <c r="K6" s="1">
        <v>75</v>
      </c>
      <c r="L6" s="1">
        <v>351</v>
      </c>
      <c r="M6" s="1">
        <v>70.2</v>
      </c>
      <c r="N6" s="1" t="s">
        <v>13</v>
      </c>
      <c r="R6" s="2" t="s">
        <v>14</v>
      </c>
      <c r="S6" s="1">
        <v>12</v>
      </c>
    </row>
    <row r="7" spans="1:19" x14ac:dyDescent="0.35">
      <c r="E7" s="1">
        <v>2</v>
      </c>
      <c r="F7" s="1" t="s">
        <v>15</v>
      </c>
      <c r="G7" s="1">
        <v>74</v>
      </c>
      <c r="H7" s="1">
        <v>81</v>
      </c>
      <c r="I7" s="1">
        <v>78</v>
      </c>
      <c r="J7" s="1">
        <v>76</v>
      </c>
      <c r="K7" s="1">
        <v>82</v>
      </c>
      <c r="L7" s="1">
        <v>391</v>
      </c>
      <c r="M7" s="1">
        <v>78.2</v>
      </c>
      <c r="N7" s="1" t="s">
        <v>13</v>
      </c>
      <c r="R7" s="2" t="s">
        <v>16</v>
      </c>
      <c r="S7" s="1">
        <v>1</v>
      </c>
    </row>
    <row r="8" spans="1:19" x14ac:dyDescent="0.35">
      <c r="E8" s="1">
        <v>3</v>
      </c>
      <c r="F8" s="1" t="s">
        <v>17</v>
      </c>
      <c r="G8" s="1">
        <v>45</v>
      </c>
      <c r="H8" s="1">
        <v>52</v>
      </c>
      <c r="I8" s="1">
        <v>48</v>
      </c>
      <c r="J8" s="1">
        <v>50</v>
      </c>
      <c r="K8" s="1">
        <v>55</v>
      </c>
      <c r="L8" s="1">
        <v>250</v>
      </c>
      <c r="M8" s="1">
        <v>50</v>
      </c>
      <c r="N8" s="1" t="s">
        <v>18</v>
      </c>
      <c r="R8" s="2" t="s">
        <v>19</v>
      </c>
      <c r="S8" s="1"/>
    </row>
    <row r="9" spans="1:19" x14ac:dyDescent="0.35">
      <c r="E9" s="1">
        <v>4</v>
      </c>
      <c r="F9" s="1" t="s">
        <v>20</v>
      </c>
      <c r="G9" s="1">
        <v>82</v>
      </c>
      <c r="H9" s="1">
        <v>88</v>
      </c>
      <c r="I9" s="1">
        <v>85</v>
      </c>
      <c r="J9" s="1">
        <v>80</v>
      </c>
      <c r="K9" s="1">
        <v>90</v>
      </c>
      <c r="L9" s="1">
        <v>425</v>
      </c>
      <c r="M9" s="1">
        <v>85</v>
      </c>
      <c r="N9" s="1" t="s">
        <v>13</v>
      </c>
      <c r="R9" s="2" t="s">
        <v>21</v>
      </c>
      <c r="S9" s="1"/>
    </row>
    <row r="10" spans="1:19" x14ac:dyDescent="0.35">
      <c r="E10" s="1">
        <v>5</v>
      </c>
      <c r="F10" s="1" t="s">
        <v>22</v>
      </c>
      <c r="G10" s="1">
        <v>34</v>
      </c>
      <c r="H10" s="1">
        <v>42</v>
      </c>
      <c r="I10" s="1">
        <v>38</v>
      </c>
      <c r="J10" s="1">
        <v>40</v>
      </c>
      <c r="K10" s="1">
        <v>45</v>
      </c>
      <c r="L10" s="1">
        <v>199</v>
      </c>
      <c r="M10" s="1">
        <v>39.799999999999997</v>
      </c>
      <c r="N10" s="1" t="s">
        <v>23</v>
      </c>
      <c r="R10" s="2" t="s">
        <v>24</v>
      </c>
      <c r="S10" s="1"/>
    </row>
    <row r="11" spans="1:19" x14ac:dyDescent="0.35">
      <c r="E11" s="1">
        <v>6</v>
      </c>
      <c r="F11" s="1" t="s">
        <v>25</v>
      </c>
      <c r="G11" s="1">
        <v>71</v>
      </c>
      <c r="H11" s="1">
        <v>69</v>
      </c>
      <c r="I11" s="1">
        <v>73</v>
      </c>
      <c r="J11" s="1">
        <v>70</v>
      </c>
      <c r="K11" s="1">
        <v>76</v>
      </c>
      <c r="L11" s="1">
        <v>359</v>
      </c>
      <c r="M11" s="1">
        <v>71.8</v>
      </c>
      <c r="N11" s="1" t="s">
        <v>13</v>
      </c>
      <c r="R11" s="2" t="s">
        <v>26</v>
      </c>
      <c r="S11" s="1"/>
    </row>
    <row r="12" spans="1:19" x14ac:dyDescent="0.35">
      <c r="A12" s="1" t="s">
        <v>27</v>
      </c>
      <c r="B12" s="1">
        <v>100</v>
      </c>
      <c r="E12" s="1">
        <v>7</v>
      </c>
      <c r="F12" s="1" t="s">
        <v>28</v>
      </c>
      <c r="G12" s="1">
        <v>58</v>
      </c>
      <c r="H12" s="1">
        <v>61</v>
      </c>
      <c r="I12" s="1">
        <v>60</v>
      </c>
      <c r="J12" s="1">
        <v>57</v>
      </c>
      <c r="K12" s="1">
        <v>62</v>
      </c>
      <c r="L12" s="1">
        <v>298</v>
      </c>
      <c r="M12" s="1">
        <v>59.6</v>
      </c>
      <c r="N12" s="1" t="s">
        <v>13</v>
      </c>
      <c r="R12" s="2" t="s">
        <v>29</v>
      </c>
      <c r="S12" s="1"/>
    </row>
    <row r="13" spans="1:19" x14ac:dyDescent="0.35">
      <c r="A13" s="1" t="s">
        <v>30</v>
      </c>
      <c r="B13" s="1">
        <v>50</v>
      </c>
      <c r="E13" s="1">
        <v>8</v>
      </c>
      <c r="F13" s="1" t="s">
        <v>31</v>
      </c>
      <c r="G13" s="1">
        <v>89</v>
      </c>
      <c r="H13" s="1">
        <v>92</v>
      </c>
      <c r="I13" s="1">
        <v>90</v>
      </c>
      <c r="J13" s="1">
        <v>88</v>
      </c>
      <c r="K13" s="1">
        <v>94</v>
      </c>
      <c r="L13" s="1">
        <v>453</v>
      </c>
      <c r="M13" s="1">
        <v>90.6</v>
      </c>
      <c r="N13" s="1" t="s">
        <v>13</v>
      </c>
      <c r="R13" s="2" t="s">
        <v>32</v>
      </c>
      <c r="S13" s="1"/>
    </row>
    <row r="14" spans="1:19" x14ac:dyDescent="0.35">
      <c r="A14" s="1"/>
      <c r="B14" s="1"/>
      <c r="E14" s="1">
        <v>9</v>
      </c>
      <c r="F14" s="1" t="s">
        <v>33</v>
      </c>
      <c r="G14" s="1">
        <v>41</v>
      </c>
      <c r="H14" s="1">
        <v>45</v>
      </c>
      <c r="I14" s="1">
        <v>43</v>
      </c>
      <c r="J14" s="1">
        <v>44</v>
      </c>
      <c r="K14" s="1">
        <v>46</v>
      </c>
      <c r="L14" s="1">
        <v>219</v>
      </c>
      <c r="M14" s="1">
        <v>43.8</v>
      </c>
      <c r="N14" s="1" t="s">
        <v>23</v>
      </c>
    </row>
    <row r="15" spans="1:19" x14ac:dyDescent="0.35">
      <c r="E15" s="1">
        <v>10</v>
      </c>
      <c r="F15" s="1" t="s">
        <v>34</v>
      </c>
      <c r="G15" s="1">
        <v>67</v>
      </c>
      <c r="H15" s="1">
        <v>70</v>
      </c>
      <c r="I15" s="1">
        <v>68</v>
      </c>
      <c r="J15" s="1">
        <v>65</v>
      </c>
      <c r="K15" s="1">
        <v>72</v>
      </c>
      <c r="L15" s="1">
        <v>342</v>
      </c>
      <c r="M15" s="1">
        <v>68.400000000000006</v>
      </c>
      <c r="N15" s="1" t="s">
        <v>13</v>
      </c>
    </row>
    <row r="16" spans="1:19" x14ac:dyDescent="0.35">
      <c r="E16" s="1">
        <v>11</v>
      </c>
      <c r="F16" s="1" t="s">
        <v>35</v>
      </c>
      <c r="G16" s="1">
        <v>76</v>
      </c>
      <c r="H16" s="1">
        <v>80</v>
      </c>
      <c r="I16" s="1">
        <v>78</v>
      </c>
      <c r="J16" s="1">
        <v>75</v>
      </c>
      <c r="K16" s="1">
        <v>82</v>
      </c>
      <c r="L16" s="1">
        <v>391</v>
      </c>
      <c r="M16" s="1">
        <v>78.2</v>
      </c>
      <c r="N16" s="1" t="s">
        <v>13</v>
      </c>
    </row>
    <row r="17" spans="5:14" x14ac:dyDescent="0.35">
      <c r="E17" s="1">
        <v>12</v>
      </c>
      <c r="F17" s="1" t="s">
        <v>36</v>
      </c>
      <c r="G17" s="1">
        <v>54</v>
      </c>
      <c r="H17" s="1">
        <v>58</v>
      </c>
      <c r="I17" s="1">
        <v>56</v>
      </c>
      <c r="J17" s="1">
        <v>55</v>
      </c>
      <c r="K17" s="1">
        <v>60</v>
      </c>
      <c r="L17" s="1">
        <v>283</v>
      </c>
      <c r="M17" s="1">
        <v>56.6</v>
      </c>
      <c r="N17" s="1" t="s">
        <v>13</v>
      </c>
    </row>
    <row r="18" spans="5:14" x14ac:dyDescent="0.35">
      <c r="E18" s="1">
        <v>13</v>
      </c>
      <c r="F18" s="1" t="s">
        <v>37</v>
      </c>
      <c r="G18" s="1">
        <v>62</v>
      </c>
      <c r="H18" s="1">
        <v>65</v>
      </c>
      <c r="I18" s="1">
        <v>63</v>
      </c>
      <c r="J18" s="1">
        <v>61</v>
      </c>
      <c r="K18" s="1">
        <v>67</v>
      </c>
      <c r="L18" s="1">
        <v>318</v>
      </c>
      <c r="M18" s="1">
        <v>63.6</v>
      </c>
      <c r="N18" s="1" t="s">
        <v>13</v>
      </c>
    </row>
    <row r="19" spans="5:14" x14ac:dyDescent="0.35">
      <c r="E19" s="1">
        <v>14</v>
      </c>
      <c r="F19" s="1" t="s">
        <v>38</v>
      </c>
      <c r="G19" s="1">
        <v>47</v>
      </c>
      <c r="H19" s="1">
        <v>50</v>
      </c>
      <c r="I19" s="1">
        <v>48</v>
      </c>
      <c r="J19" s="1">
        <v>46</v>
      </c>
      <c r="K19" s="1">
        <v>52</v>
      </c>
      <c r="L19" s="1">
        <v>243</v>
      </c>
      <c r="M19" s="1">
        <v>48.6</v>
      </c>
      <c r="N19" s="1" t="s">
        <v>23</v>
      </c>
    </row>
    <row r="20" spans="5:14" x14ac:dyDescent="0.35">
      <c r="E20" s="1">
        <v>15</v>
      </c>
      <c r="F20" s="1" t="s">
        <v>39</v>
      </c>
      <c r="G20" s="1">
        <v>35</v>
      </c>
      <c r="H20" s="1">
        <v>38</v>
      </c>
      <c r="I20" s="1">
        <v>40</v>
      </c>
      <c r="J20" s="1">
        <v>37</v>
      </c>
      <c r="K20" s="1">
        <v>42</v>
      </c>
      <c r="L20" s="1">
        <v>192</v>
      </c>
      <c r="M20" s="1">
        <v>38.4</v>
      </c>
      <c r="N20" s="1" t="s">
        <v>23</v>
      </c>
    </row>
    <row r="21" spans="5:14" x14ac:dyDescent="0.35">
      <c r="E21" s="1">
        <v>16</v>
      </c>
      <c r="F21" s="1" t="s">
        <v>40</v>
      </c>
      <c r="G21" s="1">
        <v>81</v>
      </c>
      <c r="H21" s="1">
        <v>84</v>
      </c>
      <c r="I21" s="1">
        <v>83</v>
      </c>
      <c r="J21" s="1">
        <v>80</v>
      </c>
      <c r="K21" s="1">
        <v>86</v>
      </c>
      <c r="L21" s="1">
        <v>414</v>
      </c>
      <c r="M21" s="1">
        <v>82.8</v>
      </c>
      <c r="N21" s="1" t="s">
        <v>13</v>
      </c>
    </row>
    <row r="22" spans="5:14" x14ac:dyDescent="0.35">
      <c r="E22" s="1">
        <v>17</v>
      </c>
      <c r="F22" s="1" t="s">
        <v>41</v>
      </c>
      <c r="G22" s="1">
        <v>59</v>
      </c>
      <c r="H22" s="1">
        <v>62</v>
      </c>
      <c r="I22" s="1">
        <v>60</v>
      </c>
      <c r="J22" s="1">
        <v>58</v>
      </c>
      <c r="K22" s="1">
        <v>64</v>
      </c>
      <c r="L22" s="1">
        <v>303</v>
      </c>
      <c r="M22" s="1">
        <v>60.6</v>
      </c>
      <c r="N22" s="1" t="s">
        <v>13</v>
      </c>
    </row>
    <row r="23" spans="5:14" x14ac:dyDescent="0.35">
      <c r="E23" s="1">
        <v>18</v>
      </c>
      <c r="F23" s="1" t="s">
        <v>42</v>
      </c>
      <c r="G23" s="1">
        <v>73</v>
      </c>
      <c r="H23" s="1">
        <v>77</v>
      </c>
      <c r="I23" s="1">
        <v>75</v>
      </c>
      <c r="J23" s="1">
        <v>72</v>
      </c>
      <c r="K23" s="1">
        <v>79</v>
      </c>
      <c r="L23" s="1">
        <v>376</v>
      </c>
      <c r="M23" s="1">
        <v>75.2</v>
      </c>
      <c r="N23" s="1" t="s">
        <v>13</v>
      </c>
    </row>
    <row r="24" spans="5:14" x14ac:dyDescent="0.35">
      <c r="E24" s="1">
        <v>19</v>
      </c>
      <c r="F24" s="1" t="s">
        <v>43</v>
      </c>
      <c r="G24" s="1">
        <v>44</v>
      </c>
      <c r="H24" s="1">
        <v>48</v>
      </c>
      <c r="I24" s="1">
        <v>45</v>
      </c>
      <c r="J24" s="1">
        <v>46</v>
      </c>
      <c r="K24" s="1">
        <v>50</v>
      </c>
      <c r="L24" s="1">
        <v>233</v>
      </c>
      <c r="M24" s="1">
        <v>46.6</v>
      </c>
      <c r="N24" s="1" t="s">
        <v>23</v>
      </c>
    </row>
    <row r="25" spans="5:14" x14ac:dyDescent="0.35">
      <c r="E25" s="1">
        <v>20</v>
      </c>
      <c r="F25" s="1" t="s">
        <v>44</v>
      </c>
      <c r="G25" s="1">
        <v>88</v>
      </c>
      <c r="H25" s="1">
        <v>90</v>
      </c>
      <c r="I25" s="1">
        <v>89</v>
      </c>
      <c r="J25" s="1">
        <v>87</v>
      </c>
      <c r="K25" s="1">
        <v>92</v>
      </c>
      <c r="L25" s="1">
        <v>446</v>
      </c>
      <c r="M25" s="1">
        <v>89.2</v>
      </c>
      <c r="N25" s="1" t="s">
        <v>13</v>
      </c>
    </row>
    <row r="26" spans="5:14" x14ac:dyDescent="0.35">
      <c r="E26" s="1">
        <v>21</v>
      </c>
      <c r="F26" s="1" t="s">
        <v>45</v>
      </c>
      <c r="G26" s="1">
        <v>51</v>
      </c>
      <c r="H26" s="1">
        <v>54</v>
      </c>
      <c r="I26" s="1">
        <v>52</v>
      </c>
      <c r="J26" s="1">
        <v>50</v>
      </c>
      <c r="K26" s="1">
        <v>56</v>
      </c>
      <c r="L26" s="1">
        <v>263</v>
      </c>
      <c r="M26" s="1">
        <v>52.6</v>
      </c>
      <c r="N26" s="1" t="s">
        <v>13</v>
      </c>
    </row>
    <row r="27" spans="5:14" x14ac:dyDescent="0.35">
      <c r="E27" s="1">
        <v>22</v>
      </c>
      <c r="F27" s="1" t="s">
        <v>46</v>
      </c>
      <c r="G27" s="1">
        <v>79</v>
      </c>
      <c r="H27" s="1">
        <v>82</v>
      </c>
      <c r="I27" s="1">
        <v>80</v>
      </c>
      <c r="J27" s="1">
        <v>78</v>
      </c>
      <c r="K27" s="1">
        <v>85</v>
      </c>
      <c r="L27" s="1">
        <v>404</v>
      </c>
      <c r="M27" s="1">
        <v>80.8</v>
      </c>
      <c r="N27" s="1" t="s">
        <v>13</v>
      </c>
    </row>
    <row r="28" spans="5:14" x14ac:dyDescent="0.35">
      <c r="E28" s="1">
        <v>23</v>
      </c>
      <c r="F28" s="1" t="s">
        <v>47</v>
      </c>
      <c r="G28" s="1">
        <v>63</v>
      </c>
      <c r="H28" s="1">
        <v>66</v>
      </c>
      <c r="I28" s="1">
        <v>64</v>
      </c>
      <c r="J28" s="1">
        <v>62</v>
      </c>
      <c r="K28" s="1">
        <v>68</v>
      </c>
      <c r="L28" s="1">
        <v>323</v>
      </c>
      <c r="M28" s="1">
        <v>64.599999999999994</v>
      </c>
      <c r="N28" s="1" t="s">
        <v>13</v>
      </c>
    </row>
    <row r="29" spans="5:14" x14ac:dyDescent="0.35">
      <c r="E29" s="1">
        <v>24</v>
      </c>
      <c r="F29" s="1" t="s">
        <v>48</v>
      </c>
      <c r="G29" s="1">
        <v>39</v>
      </c>
      <c r="H29" s="1">
        <v>42</v>
      </c>
      <c r="I29" s="1">
        <v>40</v>
      </c>
      <c r="J29" s="1">
        <v>38</v>
      </c>
      <c r="K29" s="1">
        <v>45</v>
      </c>
      <c r="L29" s="1">
        <v>204</v>
      </c>
      <c r="M29" s="1">
        <v>40.799999999999997</v>
      </c>
      <c r="N29" s="1" t="s">
        <v>23</v>
      </c>
    </row>
    <row r="30" spans="5:14" x14ac:dyDescent="0.35">
      <c r="E30" s="1">
        <v>25</v>
      </c>
      <c r="F30" s="1" t="s">
        <v>49</v>
      </c>
      <c r="G30" s="1">
        <v>85</v>
      </c>
      <c r="H30" s="1">
        <v>88</v>
      </c>
      <c r="I30" s="1">
        <v>87</v>
      </c>
      <c r="J30" s="1">
        <v>84</v>
      </c>
      <c r="K30" s="1">
        <v>90</v>
      </c>
      <c r="L30" s="1">
        <v>434</v>
      </c>
      <c r="M30" s="1">
        <v>86.8</v>
      </c>
      <c r="N30" s="1" t="s">
        <v>13</v>
      </c>
    </row>
    <row r="31" spans="5:14" x14ac:dyDescent="0.35">
      <c r="E31" s="1">
        <v>26</v>
      </c>
      <c r="F31" s="1" t="s">
        <v>50</v>
      </c>
      <c r="G31" s="1">
        <v>56</v>
      </c>
      <c r="H31" s="1">
        <v>59</v>
      </c>
      <c r="I31" s="1">
        <v>58</v>
      </c>
      <c r="J31" s="1">
        <v>55</v>
      </c>
      <c r="K31" s="1">
        <v>61</v>
      </c>
      <c r="L31" s="1">
        <v>289</v>
      </c>
      <c r="M31" s="1">
        <v>57.8</v>
      </c>
      <c r="N31" s="1" t="s">
        <v>13</v>
      </c>
    </row>
    <row r="32" spans="5:14" x14ac:dyDescent="0.35">
      <c r="E32" s="1">
        <v>27</v>
      </c>
      <c r="F32" s="1" t="s">
        <v>51</v>
      </c>
      <c r="G32" s="1">
        <v>72</v>
      </c>
      <c r="H32" s="1">
        <v>75</v>
      </c>
      <c r="I32" s="1">
        <v>73</v>
      </c>
      <c r="J32" s="1">
        <v>71</v>
      </c>
      <c r="K32" s="1">
        <v>78</v>
      </c>
      <c r="L32" s="1">
        <v>369</v>
      </c>
      <c r="M32" s="1">
        <v>73.8</v>
      </c>
      <c r="N32" s="1" t="s">
        <v>13</v>
      </c>
    </row>
    <row r="33" spans="5:14" x14ac:dyDescent="0.35">
      <c r="E33" s="1">
        <v>28</v>
      </c>
      <c r="F33" s="1" t="s">
        <v>52</v>
      </c>
      <c r="G33" s="1">
        <v>33</v>
      </c>
      <c r="H33" s="1">
        <v>36</v>
      </c>
      <c r="I33" s="1">
        <v>35</v>
      </c>
      <c r="J33" s="1">
        <v>34</v>
      </c>
      <c r="K33" s="1">
        <v>38</v>
      </c>
      <c r="L33" s="1">
        <v>176</v>
      </c>
      <c r="M33" s="1">
        <v>35.200000000000003</v>
      </c>
      <c r="N33" s="1" t="s">
        <v>23</v>
      </c>
    </row>
    <row r="34" spans="5:14" x14ac:dyDescent="0.35">
      <c r="E34" s="1">
        <v>29</v>
      </c>
      <c r="F34" s="1" t="s">
        <v>53</v>
      </c>
      <c r="G34" s="1">
        <v>66</v>
      </c>
      <c r="H34" s="1">
        <v>69</v>
      </c>
      <c r="I34" s="1">
        <v>67</v>
      </c>
      <c r="J34" s="1">
        <v>65</v>
      </c>
      <c r="K34" s="1">
        <v>71</v>
      </c>
      <c r="L34" s="1">
        <v>338</v>
      </c>
      <c r="M34" s="1">
        <v>67.599999999999994</v>
      </c>
      <c r="N34" s="1" t="s">
        <v>13</v>
      </c>
    </row>
    <row r="35" spans="5:14" x14ac:dyDescent="0.35">
      <c r="E35" s="1">
        <v>30</v>
      </c>
      <c r="F35" s="1" t="s">
        <v>54</v>
      </c>
      <c r="G35" s="1">
        <v>91</v>
      </c>
      <c r="H35" s="1">
        <v>94</v>
      </c>
      <c r="I35" s="1">
        <v>92</v>
      </c>
      <c r="J35" s="1">
        <v>90</v>
      </c>
      <c r="K35" s="1">
        <v>96</v>
      </c>
      <c r="L35" s="1">
        <v>463</v>
      </c>
      <c r="M35" s="1">
        <v>92.6</v>
      </c>
      <c r="N35" s="1" t="s">
        <v>13</v>
      </c>
    </row>
    <row r="36" spans="5:14" x14ac:dyDescent="0.35">
      <c r="E36" s="1">
        <v>31</v>
      </c>
      <c r="F36" s="1" t="s">
        <v>55</v>
      </c>
      <c r="G36" s="1">
        <v>48</v>
      </c>
      <c r="H36" s="1">
        <v>50</v>
      </c>
      <c r="I36" s="1">
        <v>49</v>
      </c>
      <c r="J36" s="1">
        <v>47</v>
      </c>
      <c r="K36" s="1">
        <v>53</v>
      </c>
      <c r="L36" s="1">
        <v>247</v>
      </c>
      <c r="M36" s="1">
        <v>49.4</v>
      </c>
      <c r="N36" s="1" t="s">
        <v>23</v>
      </c>
    </row>
    <row r="37" spans="5:14" x14ac:dyDescent="0.35">
      <c r="E37" s="1">
        <v>32</v>
      </c>
      <c r="F37" s="1" t="s">
        <v>56</v>
      </c>
      <c r="G37" s="1">
        <v>77</v>
      </c>
      <c r="H37" s="1">
        <v>80</v>
      </c>
      <c r="I37" s="1">
        <v>78</v>
      </c>
      <c r="J37" s="1">
        <v>76</v>
      </c>
      <c r="K37" s="1">
        <v>83</v>
      </c>
      <c r="L37" s="1">
        <v>394</v>
      </c>
      <c r="M37" s="1">
        <v>78.8</v>
      </c>
      <c r="N37" s="1" t="s">
        <v>13</v>
      </c>
    </row>
    <row r="38" spans="5:14" x14ac:dyDescent="0.35">
      <c r="E38" s="1">
        <v>33</v>
      </c>
      <c r="F38" s="1" t="s">
        <v>57</v>
      </c>
      <c r="G38" s="1">
        <v>60</v>
      </c>
      <c r="H38" s="1">
        <v>63</v>
      </c>
      <c r="I38" s="1">
        <v>61</v>
      </c>
      <c r="J38" s="1">
        <v>59</v>
      </c>
      <c r="K38" s="1">
        <v>65</v>
      </c>
      <c r="L38" s="1">
        <v>308</v>
      </c>
      <c r="M38" s="1">
        <v>61.6</v>
      </c>
      <c r="N38" s="1" t="s">
        <v>13</v>
      </c>
    </row>
    <row r="39" spans="5:14" x14ac:dyDescent="0.35">
      <c r="E39" s="1">
        <v>34</v>
      </c>
      <c r="F39" s="1" t="s">
        <v>58</v>
      </c>
      <c r="G39" s="1">
        <v>42</v>
      </c>
      <c r="H39" s="1">
        <v>45</v>
      </c>
      <c r="I39" s="1">
        <v>43</v>
      </c>
      <c r="J39" s="1">
        <v>41</v>
      </c>
      <c r="K39" s="1">
        <v>47</v>
      </c>
      <c r="L39" s="1">
        <v>218</v>
      </c>
      <c r="M39" s="1">
        <v>43.6</v>
      </c>
      <c r="N39" s="1" t="s">
        <v>23</v>
      </c>
    </row>
    <row r="40" spans="5:14" x14ac:dyDescent="0.35">
      <c r="E40" s="1">
        <v>35</v>
      </c>
      <c r="F40" s="1" t="s">
        <v>59</v>
      </c>
      <c r="G40" s="1">
        <v>84</v>
      </c>
      <c r="H40" s="1">
        <v>87</v>
      </c>
      <c r="I40" s="1">
        <v>85</v>
      </c>
      <c r="J40" s="1">
        <v>82</v>
      </c>
      <c r="K40" s="1">
        <v>89</v>
      </c>
      <c r="L40" s="1">
        <v>427</v>
      </c>
      <c r="M40" s="1">
        <v>85.4</v>
      </c>
      <c r="N40" s="1" t="s">
        <v>13</v>
      </c>
    </row>
    <row r="41" spans="5:14" x14ac:dyDescent="0.35">
      <c r="E41" s="1">
        <v>36</v>
      </c>
      <c r="F41" s="1" t="s">
        <v>60</v>
      </c>
      <c r="G41" s="1">
        <v>55</v>
      </c>
      <c r="H41" s="1">
        <v>58</v>
      </c>
      <c r="I41" s="1">
        <v>56</v>
      </c>
      <c r="J41" s="1">
        <v>54</v>
      </c>
      <c r="K41" s="1">
        <v>60</v>
      </c>
      <c r="L41" s="1">
        <v>283</v>
      </c>
      <c r="M41" s="1">
        <v>56.6</v>
      </c>
      <c r="N41" s="1" t="s">
        <v>13</v>
      </c>
    </row>
    <row r="42" spans="5:14" x14ac:dyDescent="0.35">
      <c r="E42" s="1">
        <v>37</v>
      </c>
      <c r="F42" s="1" t="s">
        <v>61</v>
      </c>
      <c r="G42" s="1">
        <v>70</v>
      </c>
      <c r="H42" s="1">
        <v>73</v>
      </c>
      <c r="I42" s="1">
        <v>71</v>
      </c>
      <c r="J42" s="1">
        <v>69</v>
      </c>
      <c r="K42" s="1">
        <v>75</v>
      </c>
      <c r="L42" s="1">
        <v>358</v>
      </c>
      <c r="M42" s="1">
        <v>71.599999999999994</v>
      </c>
      <c r="N42" s="1" t="s">
        <v>13</v>
      </c>
    </row>
    <row r="43" spans="5:14" x14ac:dyDescent="0.35">
      <c r="E43" s="1">
        <v>38</v>
      </c>
      <c r="F43" s="1" t="s">
        <v>62</v>
      </c>
      <c r="G43" s="1">
        <v>36</v>
      </c>
      <c r="H43" s="1">
        <v>39</v>
      </c>
      <c r="I43" s="1">
        <v>38</v>
      </c>
      <c r="J43" s="1">
        <v>37</v>
      </c>
      <c r="K43" s="1">
        <v>40</v>
      </c>
      <c r="L43" s="1">
        <v>190</v>
      </c>
      <c r="M43" s="1">
        <v>38</v>
      </c>
      <c r="N43" s="1" t="s">
        <v>23</v>
      </c>
    </row>
    <row r="44" spans="5:14" x14ac:dyDescent="0.35">
      <c r="E44" s="1">
        <v>39</v>
      </c>
      <c r="F44" s="1" t="s">
        <v>63</v>
      </c>
      <c r="G44" s="1">
        <v>64</v>
      </c>
      <c r="H44" s="1">
        <v>67</v>
      </c>
      <c r="I44" s="1">
        <v>65</v>
      </c>
      <c r="J44" s="1">
        <v>63</v>
      </c>
      <c r="K44" s="1">
        <v>69</v>
      </c>
      <c r="L44" s="1">
        <v>328</v>
      </c>
      <c r="M44" s="1">
        <v>65.599999999999994</v>
      </c>
      <c r="N44" s="1" t="s">
        <v>13</v>
      </c>
    </row>
    <row r="45" spans="5:14" x14ac:dyDescent="0.35">
      <c r="E45" s="1">
        <v>40</v>
      </c>
      <c r="F45" s="1" t="s">
        <v>64</v>
      </c>
      <c r="G45" s="1">
        <v>78</v>
      </c>
      <c r="H45" s="1">
        <v>81</v>
      </c>
      <c r="I45" s="1">
        <v>79</v>
      </c>
      <c r="J45" s="1">
        <v>77</v>
      </c>
      <c r="K45" s="1">
        <v>84</v>
      </c>
      <c r="L45" s="1">
        <v>399</v>
      </c>
      <c r="M45" s="1">
        <v>79.8</v>
      </c>
      <c r="N45" s="1" t="s">
        <v>13</v>
      </c>
    </row>
    <row r="46" spans="5:14" x14ac:dyDescent="0.35">
      <c r="E46" s="1">
        <v>41</v>
      </c>
      <c r="F46" s="1" t="s">
        <v>65</v>
      </c>
      <c r="G46" s="1">
        <v>46</v>
      </c>
      <c r="H46" s="1">
        <v>49</v>
      </c>
      <c r="I46" s="1">
        <v>47</v>
      </c>
      <c r="J46" s="1">
        <v>45</v>
      </c>
      <c r="K46" s="1">
        <v>51</v>
      </c>
      <c r="L46" s="1">
        <v>238</v>
      </c>
      <c r="M46" s="1">
        <v>47.6</v>
      </c>
      <c r="N46" s="1" t="s">
        <v>23</v>
      </c>
    </row>
    <row r="47" spans="5:14" x14ac:dyDescent="0.35">
      <c r="E47" s="1">
        <v>42</v>
      </c>
      <c r="F47" s="1" t="s">
        <v>66</v>
      </c>
      <c r="G47" s="1">
        <v>86</v>
      </c>
      <c r="H47" s="1">
        <v>89</v>
      </c>
      <c r="I47" s="1">
        <v>88</v>
      </c>
      <c r="J47" s="1">
        <v>85</v>
      </c>
      <c r="K47" s="1">
        <v>91</v>
      </c>
      <c r="L47" s="1">
        <v>439</v>
      </c>
      <c r="M47" s="1">
        <v>87.8</v>
      </c>
      <c r="N47" s="1" t="s">
        <v>13</v>
      </c>
    </row>
    <row r="48" spans="5:14" x14ac:dyDescent="0.35">
      <c r="E48" s="1">
        <v>43</v>
      </c>
      <c r="F48" s="1" t="s">
        <v>67</v>
      </c>
      <c r="G48" s="1">
        <v>57</v>
      </c>
      <c r="H48" s="1">
        <v>60</v>
      </c>
      <c r="I48" s="1">
        <v>58</v>
      </c>
      <c r="J48" s="1">
        <v>56</v>
      </c>
      <c r="K48" s="1">
        <v>62</v>
      </c>
      <c r="L48" s="1">
        <v>293</v>
      </c>
      <c r="M48" s="1">
        <v>58.6</v>
      </c>
      <c r="N48" s="1" t="s">
        <v>13</v>
      </c>
    </row>
    <row r="49" spans="5:14" x14ac:dyDescent="0.35">
      <c r="E49" s="1">
        <v>44</v>
      </c>
      <c r="F49" s="1" t="s">
        <v>68</v>
      </c>
      <c r="G49" s="1">
        <v>40</v>
      </c>
      <c r="H49" s="1">
        <v>43</v>
      </c>
      <c r="I49" s="1">
        <v>41</v>
      </c>
      <c r="J49" s="1">
        <v>39</v>
      </c>
      <c r="K49" s="1">
        <v>45</v>
      </c>
      <c r="L49" s="1">
        <v>208</v>
      </c>
      <c r="M49" s="1">
        <v>41.6</v>
      </c>
      <c r="N49" s="1" t="s">
        <v>23</v>
      </c>
    </row>
    <row r="50" spans="5:14" x14ac:dyDescent="0.35">
      <c r="E50" s="1">
        <v>45</v>
      </c>
      <c r="F50" s="1" t="s">
        <v>69</v>
      </c>
      <c r="G50" s="1">
        <v>83</v>
      </c>
      <c r="H50" s="1">
        <v>86</v>
      </c>
      <c r="I50" s="1">
        <v>84</v>
      </c>
      <c r="J50" s="1">
        <v>82</v>
      </c>
      <c r="K50" s="1">
        <v>88</v>
      </c>
      <c r="L50" s="1">
        <v>423</v>
      </c>
      <c r="M50" s="1">
        <v>84.6</v>
      </c>
      <c r="N50" s="1" t="s">
        <v>13</v>
      </c>
    </row>
    <row r="51" spans="5:14" x14ac:dyDescent="0.35">
      <c r="E51" s="1">
        <v>46</v>
      </c>
      <c r="F51" s="1" t="s">
        <v>70</v>
      </c>
      <c r="G51" s="1">
        <v>69</v>
      </c>
      <c r="H51" s="1">
        <v>72</v>
      </c>
      <c r="I51" s="1">
        <v>70</v>
      </c>
      <c r="J51" s="1">
        <v>68</v>
      </c>
      <c r="K51" s="1">
        <v>74</v>
      </c>
      <c r="L51" s="1">
        <v>353</v>
      </c>
      <c r="M51" s="1">
        <v>70.599999999999994</v>
      </c>
      <c r="N51" s="1" t="s">
        <v>13</v>
      </c>
    </row>
    <row r="52" spans="5:14" x14ac:dyDescent="0.35">
      <c r="E52" s="1">
        <v>47</v>
      </c>
      <c r="F52" s="1" t="s">
        <v>71</v>
      </c>
      <c r="G52" s="1">
        <v>52</v>
      </c>
      <c r="H52" s="1">
        <v>55</v>
      </c>
      <c r="I52" s="1">
        <v>53</v>
      </c>
      <c r="J52" s="1">
        <v>51</v>
      </c>
      <c r="K52" s="1">
        <v>57</v>
      </c>
      <c r="L52" s="1">
        <v>268</v>
      </c>
      <c r="M52" s="1">
        <v>53.6</v>
      </c>
      <c r="N52" s="1" t="s">
        <v>13</v>
      </c>
    </row>
    <row r="53" spans="5:14" x14ac:dyDescent="0.35">
      <c r="E53" s="1">
        <v>48</v>
      </c>
      <c r="F53" s="1" t="s">
        <v>72</v>
      </c>
      <c r="G53" s="1">
        <v>90</v>
      </c>
      <c r="H53" s="1">
        <v>93</v>
      </c>
      <c r="I53" s="1">
        <v>91</v>
      </c>
      <c r="J53" s="1">
        <v>89</v>
      </c>
      <c r="K53" s="1">
        <v>95</v>
      </c>
      <c r="L53" s="1">
        <v>458</v>
      </c>
      <c r="M53" s="1">
        <v>91.6</v>
      </c>
      <c r="N53" s="1" t="s">
        <v>13</v>
      </c>
    </row>
    <row r="54" spans="5:14" x14ac:dyDescent="0.35">
      <c r="E54" s="1">
        <v>49</v>
      </c>
      <c r="F54" s="1" t="s">
        <v>73</v>
      </c>
      <c r="G54" s="1">
        <v>61</v>
      </c>
      <c r="H54" s="1">
        <v>64</v>
      </c>
      <c r="I54" s="1">
        <v>62</v>
      </c>
      <c r="J54" s="1">
        <v>60</v>
      </c>
      <c r="K54" s="1">
        <v>66</v>
      </c>
      <c r="L54" s="1">
        <v>313</v>
      </c>
      <c r="M54" s="1">
        <v>62.6</v>
      </c>
      <c r="N54" s="1" t="s">
        <v>13</v>
      </c>
    </row>
    <row r="55" spans="5:14" x14ac:dyDescent="0.35">
      <c r="E55" s="1">
        <v>50</v>
      </c>
      <c r="F55" s="1" t="s">
        <v>74</v>
      </c>
      <c r="G55" s="1">
        <v>75</v>
      </c>
      <c r="H55" s="1">
        <v>78</v>
      </c>
      <c r="I55" s="1">
        <v>76</v>
      </c>
      <c r="J55" s="1">
        <v>74</v>
      </c>
      <c r="K55" s="1">
        <v>81</v>
      </c>
      <c r="L55" s="1">
        <v>384</v>
      </c>
      <c r="M55" s="1">
        <v>76.8</v>
      </c>
      <c r="N55" s="1" t="s">
        <v>13</v>
      </c>
    </row>
    <row r="56" spans="5:14" x14ac:dyDescent="0.35">
      <c r="E56" s="1"/>
      <c r="F56" s="1" t="s">
        <v>75</v>
      </c>
      <c r="G56" s="1">
        <v>3156</v>
      </c>
      <c r="H56" s="1">
        <v>3321</v>
      </c>
      <c r="I56" s="1">
        <v>3233</v>
      </c>
      <c r="J56" s="1">
        <v>3134</v>
      </c>
      <c r="K56" s="1">
        <v>3434</v>
      </c>
      <c r="L56" s="1"/>
      <c r="M56" s="1"/>
      <c r="N56" s="1"/>
    </row>
    <row r="57" spans="5:14" x14ac:dyDescent="0.35">
      <c r="E57" s="1"/>
      <c r="F57" s="1" t="s">
        <v>76</v>
      </c>
      <c r="G57" s="1">
        <v>63.12</v>
      </c>
      <c r="H57" s="1">
        <v>66.42</v>
      </c>
      <c r="I57" s="1">
        <v>64.66</v>
      </c>
      <c r="J57" s="1">
        <v>62.68</v>
      </c>
      <c r="K57" s="1">
        <v>68.680000000000007</v>
      </c>
      <c r="L57" s="1"/>
      <c r="M57" s="1"/>
      <c r="N57" s="1"/>
    </row>
  </sheetData>
  <mergeCells count="2">
    <mergeCell ref="R3:S4"/>
    <mergeCell ref="E2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32E9-D622-443F-9639-7E3267B43DFF}">
  <dimension ref="A1:W51"/>
  <sheetViews>
    <sheetView topLeftCell="M8" workbookViewId="0">
      <selection activeCell="Y9" sqref="Y9"/>
    </sheetView>
  </sheetViews>
  <sheetFormatPr defaultRowHeight="14.5" x14ac:dyDescent="0.35"/>
  <cols>
    <col min="1" max="1" width="6.7265625" bestFit="1" customWidth="1"/>
    <col min="2" max="2" width="17.08984375" bestFit="1" customWidth="1"/>
    <col min="3" max="3" width="6.6328125" bestFit="1" customWidth="1"/>
    <col min="4" max="4" width="6.08984375" bestFit="1" customWidth="1"/>
    <col min="5" max="5" width="6.90625" bestFit="1" customWidth="1"/>
    <col min="6" max="6" width="5.81640625" bestFit="1" customWidth="1"/>
    <col min="7" max="7" width="9.1796875" bestFit="1" customWidth="1"/>
    <col min="8" max="8" width="5" bestFit="1" customWidth="1"/>
    <col min="9" max="9" width="10" bestFit="1" customWidth="1"/>
    <col min="10" max="10" width="5.90625" bestFit="1" customWidth="1"/>
    <col min="12" max="12" width="12.6328125" bestFit="1" customWidth="1"/>
    <col min="13" max="13" width="9.81640625" bestFit="1" customWidth="1"/>
    <col min="14" max="14" width="6.08984375" bestFit="1" customWidth="1"/>
    <col min="15" max="15" width="6.90625" bestFit="1" customWidth="1"/>
    <col min="16" max="16" width="5.54296875" bestFit="1" customWidth="1"/>
    <col min="17" max="17" width="9.1796875" bestFit="1" customWidth="1"/>
    <col min="19" max="19" width="46.453125" bestFit="1" customWidth="1"/>
    <col min="20" max="20" width="2.08984375" bestFit="1" customWidth="1"/>
    <col min="21" max="21" width="2.81640625" bestFit="1" customWidth="1"/>
    <col min="22" max="22" width="1.90625" bestFit="1" customWidth="1"/>
  </cols>
  <sheetData>
    <row r="1" spans="1:23" ht="15" thickBot="1" x14ac:dyDescent="0.4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23" ht="14.5" customHeight="1" x14ac:dyDescent="0.35">
      <c r="A2" s="1">
        <v>1</v>
      </c>
      <c r="B2" s="1" t="s">
        <v>12</v>
      </c>
      <c r="C2" s="1">
        <v>68</v>
      </c>
      <c r="D2" s="1">
        <v>72</v>
      </c>
      <c r="E2" s="1">
        <v>70</v>
      </c>
      <c r="F2" s="1">
        <v>66</v>
      </c>
      <c r="G2" s="1">
        <v>75</v>
      </c>
      <c r="K2" s="24"/>
      <c r="L2" s="90" t="s">
        <v>92</v>
      </c>
      <c r="M2" s="91"/>
      <c r="N2" s="91"/>
      <c r="O2" s="91"/>
      <c r="P2" s="91"/>
      <c r="Q2" s="91"/>
      <c r="R2" s="91"/>
      <c r="S2" s="91"/>
      <c r="T2" s="91"/>
      <c r="U2" s="91"/>
      <c r="V2" s="91"/>
      <c r="W2" s="92"/>
    </row>
    <row r="3" spans="1:23" ht="14.5" customHeight="1" thickBot="1" x14ac:dyDescent="0.4">
      <c r="A3" s="1">
        <v>2</v>
      </c>
      <c r="B3" s="1" t="s">
        <v>15</v>
      </c>
      <c r="C3" s="1">
        <v>74</v>
      </c>
      <c r="D3" s="1">
        <v>81</v>
      </c>
      <c r="E3" s="1">
        <v>78</v>
      </c>
      <c r="F3" s="1">
        <v>76</v>
      </c>
      <c r="G3" s="1">
        <v>82</v>
      </c>
      <c r="K3" s="24"/>
      <c r="L3" s="105"/>
      <c r="M3" s="82"/>
      <c r="N3" s="82"/>
      <c r="O3" s="82"/>
      <c r="P3" s="82"/>
      <c r="Q3" s="82"/>
      <c r="R3" s="83"/>
      <c r="S3" s="82"/>
      <c r="T3" s="82"/>
      <c r="U3" s="82"/>
      <c r="V3" s="82"/>
      <c r="W3" s="98"/>
    </row>
    <row r="4" spans="1:23" x14ac:dyDescent="0.35">
      <c r="A4" s="1">
        <v>3</v>
      </c>
      <c r="B4" s="1" t="s">
        <v>17</v>
      </c>
      <c r="C4" s="1">
        <v>45</v>
      </c>
      <c r="D4" s="1">
        <v>52</v>
      </c>
      <c r="E4" s="1">
        <v>48</v>
      </c>
      <c r="F4" s="1">
        <v>50</v>
      </c>
      <c r="G4" s="1">
        <v>55</v>
      </c>
      <c r="K4" s="24"/>
      <c r="L4" s="106" t="s">
        <v>77</v>
      </c>
      <c r="M4" s="37"/>
      <c r="N4" s="37"/>
      <c r="O4" s="37"/>
      <c r="P4" s="37"/>
      <c r="Q4" s="38"/>
      <c r="R4" s="103"/>
      <c r="S4" s="99" t="s">
        <v>100</v>
      </c>
      <c r="T4" s="100"/>
      <c r="U4" s="100"/>
      <c r="V4" s="100"/>
      <c r="W4" s="101"/>
    </row>
    <row r="5" spans="1:23" x14ac:dyDescent="0.35">
      <c r="A5" s="1">
        <v>4</v>
      </c>
      <c r="B5" s="1" t="s">
        <v>20</v>
      </c>
      <c r="C5" s="1">
        <v>82</v>
      </c>
      <c r="D5" s="1">
        <v>88</v>
      </c>
      <c r="E5" s="1">
        <v>85</v>
      </c>
      <c r="F5" s="1">
        <v>80</v>
      </c>
      <c r="G5" s="1">
        <v>90</v>
      </c>
      <c r="K5" s="24"/>
      <c r="L5" s="94"/>
      <c r="M5" s="26"/>
      <c r="N5" s="26"/>
      <c r="O5" s="26"/>
      <c r="P5" s="26"/>
      <c r="Q5" s="107"/>
      <c r="R5" s="103"/>
      <c r="S5" s="102"/>
      <c r="T5" s="80"/>
      <c r="U5" s="80"/>
      <c r="V5" s="80"/>
      <c r="W5" s="81"/>
    </row>
    <row r="6" spans="1:23" x14ac:dyDescent="0.35">
      <c r="A6" s="1">
        <v>5</v>
      </c>
      <c r="B6" s="1" t="s">
        <v>22</v>
      </c>
      <c r="C6" s="1">
        <v>34</v>
      </c>
      <c r="D6" s="1">
        <v>42</v>
      </c>
      <c r="E6" s="1">
        <v>38</v>
      </c>
      <c r="F6" s="1">
        <v>40</v>
      </c>
      <c r="G6" s="1">
        <v>45</v>
      </c>
      <c r="K6" s="24"/>
      <c r="L6" s="95" t="s">
        <v>2</v>
      </c>
      <c r="M6" s="2" t="s">
        <v>3</v>
      </c>
      <c r="N6" s="2" t="s">
        <v>4</v>
      </c>
      <c r="O6" s="2" t="s">
        <v>5</v>
      </c>
      <c r="P6" s="2" t="s">
        <v>6</v>
      </c>
      <c r="Q6" s="108" t="s">
        <v>7</v>
      </c>
      <c r="R6" s="103"/>
      <c r="S6" s="10">
        <v>34</v>
      </c>
      <c r="T6" s="1" t="s">
        <v>95</v>
      </c>
      <c r="U6" s="1">
        <v>37</v>
      </c>
      <c r="V6" s="1" t="str">
        <f>VLOOKUP(U6,S6:T10,2,1)</f>
        <v>B</v>
      </c>
      <c r="W6" s="9"/>
    </row>
    <row r="7" spans="1:23" x14ac:dyDescent="0.35">
      <c r="A7" s="1">
        <v>6</v>
      </c>
      <c r="B7" s="1" t="s">
        <v>25</v>
      </c>
      <c r="C7" s="1">
        <v>71</v>
      </c>
      <c r="D7" s="1">
        <v>69</v>
      </c>
      <c r="E7" s="1">
        <v>73</v>
      </c>
      <c r="F7" s="1">
        <v>70</v>
      </c>
      <c r="G7" s="1">
        <v>76</v>
      </c>
      <c r="K7" s="24"/>
      <c r="L7" s="10" t="s">
        <v>25</v>
      </c>
      <c r="M7" s="1" cm="1">
        <f t="array" ref="M7:Q7">VLOOKUP($L$7,$B$2:$G$51,{2,3,4,5,6},0)</f>
        <v>71</v>
      </c>
      <c r="N7" s="1">
        <v>69</v>
      </c>
      <c r="O7" s="1">
        <v>73</v>
      </c>
      <c r="P7" s="1">
        <v>70</v>
      </c>
      <c r="Q7" s="9">
        <v>76</v>
      </c>
      <c r="R7" s="103"/>
      <c r="S7" s="10">
        <v>37</v>
      </c>
      <c r="T7" s="1" t="s">
        <v>96</v>
      </c>
      <c r="U7" s="1"/>
      <c r="V7" s="1"/>
      <c r="W7" s="9"/>
    </row>
    <row r="8" spans="1:23" x14ac:dyDescent="0.35">
      <c r="A8" s="1">
        <v>7</v>
      </c>
      <c r="B8" s="1" t="s">
        <v>28</v>
      </c>
      <c r="C8" s="1">
        <v>58</v>
      </c>
      <c r="D8" s="1">
        <v>61</v>
      </c>
      <c r="E8" s="1">
        <v>60</v>
      </c>
      <c r="F8" s="1">
        <v>57</v>
      </c>
      <c r="G8" s="1">
        <v>62</v>
      </c>
      <c r="K8" s="24"/>
      <c r="L8" s="10"/>
      <c r="M8" s="1"/>
      <c r="N8" s="1"/>
      <c r="O8" s="1"/>
      <c r="P8" s="1"/>
      <c r="Q8" s="9"/>
      <c r="R8" s="103"/>
      <c r="S8" s="10">
        <v>58</v>
      </c>
      <c r="T8" s="1" t="s">
        <v>97</v>
      </c>
      <c r="U8" s="1"/>
      <c r="V8" s="1"/>
      <c r="W8" s="9"/>
    </row>
    <row r="9" spans="1:23" x14ac:dyDescent="0.35">
      <c r="A9" s="1">
        <v>8</v>
      </c>
      <c r="B9" s="1" t="s">
        <v>31</v>
      </c>
      <c r="C9" s="1">
        <v>89</v>
      </c>
      <c r="D9" s="1">
        <v>92</v>
      </c>
      <c r="E9" s="1">
        <v>90</v>
      </c>
      <c r="F9" s="1">
        <v>88</v>
      </c>
      <c r="G9" s="1">
        <v>94</v>
      </c>
      <c r="K9" s="24"/>
      <c r="L9" s="10"/>
      <c r="M9" s="1"/>
      <c r="N9" s="1"/>
      <c r="O9" s="1"/>
      <c r="P9" s="1"/>
      <c r="Q9" s="9"/>
      <c r="R9" s="103"/>
      <c r="S9" s="10">
        <v>59</v>
      </c>
      <c r="T9" s="1" t="s">
        <v>98</v>
      </c>
      <c r="U9" s="1"/>
      <c r="V9" s="1"/>
      <c r="W9" s="9"/>
    </row>
    <row r="10" spans="1:23" ht="14.5" customHeight="1" thickBot="1" x14ac:dyDescent="0.4">
      <c r="A10" s="1">
        <v>9</v>
      </c>
      <c r="B10" s="1" t="s">
        <v>33</v>
      </c>
      <c r="C10" s="1">
        <v>41</v>
      </c>
      <c r="D10" s="1">
        <v>45</v>
      </c>
      <c r="E10" s="1">
        <v>43</v>
      </c>
      <c r="F10" s="1">
        <v>44</v>
      </c>
      <c r="G10" s="1">
        <v>46</v>
      </c>
      <c r="K10" s="24"/>
      <c r="L10" s="93" t="s">
        <v>79</v>
      </c>
      <c r="M10" s="26"/>
      <c r="N10" s="26"/>
      <c r="O10" s="26"/>
      <c r="P10" s="26"/>
      <c r="Q10" s="107"/>
      <c r="R10" s="103"/>
      <c r="S10" s="15">
        <v>68</v>
      </c>
      <c r="T10" s="5" t="s">
        <v>99</v>
      </c>
      <c r="U10" s="5"/>
      <c r="V10" s="5"/>
      <c r="W10" s="21"/>
    </row>
    <row r="11" spans="1:23" x14ac:dyDescent="0.35">
      <c r="A11" s="1">
        <v>10</v>
      </c>
      <c r="B11" s="1" t="s">
        <v>34</v>
      </c>
      <c r="C11" s="1">
        <v>67</v>
      </c>
      <c r="D11" s="1">
        <v>70</v>
      </c>
      <c r="E11" s="1">
        <v>68</v>
      </c>
      <c r="F11" s="1">
        <v>65</v>
      </c>
      <c r="G11" s="1">
        <v>72</v>
      </c>
      <c r="K11" s="24"/>
      <c r="L11" s="94"/>
      <c r="M11" s="26"/>
      <c r="N11" s="26"/>
      <c r="O11" s="26"/>
      <c r="P11" s="26"/>
      <c r="Q11" s="107"/>
      <c r="R11" s="103"/>
      <c r="S11" s="84" t="s">
        <v>101</v>
      </c>
      <c r="T11" s="85"/>
      <c r="U11" s="85"/>
      <c r="V11" s="85"/>
      <c r="W11" s="86"/>
    </row>
    <row r="12" spans="1:23" ht="15" thickBot="1" x14ac:dyDescent="0.4">
      <c r="A12" s="1">
        <v>11</v>
      </c>
      <c r="B12" s="1" t="s">
        <v>35</v>
      </c>
      <c r="C12" s="1">
        <v>76</v>
      </c>
      <c r="D12" s="1">
        <v>80</v>
      </c>
      <c r="E12" s="1">
        <v>78</v>
      </c>
      <c r="F12" s="1">
        <v>75</v>
      </c>
      <c r="G12" s="1">
        <v>82</v>
      </c>
      <c r="K12" s="24"/>
      <c r="L12" s="95" t="s">
        <v>2</v>
      </c>
      <c r="M12" s="2" t="s">
        <v>3</v>
      </c>
      <c r="N12" s="2" t="s">
        <v>4</v>
      </c>
      <c r="O12" s="2" t="s">
        <v>5</v>
      </c>
      <c r="P12" s="2" t="s">
        <v>6</v>
      </c>
      <c r="Q12" s="108" t="s">
        <v>7</v>
      </c>
      <c r="R12" s="103"/>
      <c r="S12" s="87"/>
      <c r="T12" s="88"/>
      <c r="U12" s="88"/>
      <c r="V12" s="88"/>
      <c r="W12" s="89"/>
    </row>
    <row r="13" spans="1:23" x14ac:dyDescent="0.35">
      <c r="A13" s="1">
        <v>12</v>
      </c>
      <c r="B13" s="1" t="s">
        <v>36</v>
      </c>
      <c r="C13" s="1">
        <v>54</v>
      </c>
      <c r="D13" s="1">
        <v>58</v>
      </c>
      <c r="E13" s="1">
        <v>56</v>
      </c>
      <c r="F13" s="1">
        <v>55</v>
      </c>
      <c r="G13" s="1">
        <v>60</v>
      </c>
      <c r="K13" s="24"/>
      <c r="L13" s="10" t="s">
        <v>17</v>
      </c>
      <c r="M13" s="1">
        <f>VLOOKUP($L$13,$B$2:$G$51,COLUMN(B1),0)</f>
        <v>45</v>
      </c>
      <c r="N13" s="1">
        <f>VLOOKUP($L$13,$B$2:$G$51,COLUMN(C1),0)</f>
        <v>52</v>
      </c>
      <c r="O13" s="1">
        <f>VLOOKUP($L$13,$B$2:$G$51,COLUMN(D1),0)</f>
        <v>48</v>
      </c>
      <c r="P13" s="1">
        <f>VLOOKUP($L$13,$B$2:$G$51,COLUMN(E1),0)</f>
        <v>50</v>
      </c>
      <c r="Q13" s="9">
        <f>VLOOKUP($L$13,$B$2:$G$51,COLUMN(F1),0)</f>
        <v>55</v>
      </c>
      <c r="R13" s="103"/>
      <c r="S13" s="16" t="s">
        <v>102</v>
      </c>
      <c r="T13" s="6"/>
      <c r="U13" s="6"/>
      <c r="V13" s="6"/>
      <c r="W13" s="23"/>
    </row>
    <row r="14" spans="1:23" x14ac:dyDescent="0.35">
      <c r="A14" s="1">
        <v>13</v>
      </c>
      <c r="B14" s="1" t="s">
        <v>37</v>
      </c>
      <c r="C14" s="1">
        <v>62</v>
      </c>
      <c r="D14" s="1">
        <v>65</v>
      </c>
      <c r="E14" s="1">
        <v>63</v>
      </c>
      <c r="F14" s="1">
        <v>61</v>
      </c>
      <c r="G14" s="1">
        <v>67</v>
      </c>
      <c r="K14" s="24"/>
      <c r="L14" s="10"/>
      <c r="M14" s="1"/>
      <c r="N14" s="1"/>
      <c r="O14" s="1"/>
      <c r="P14" s="1"/>
      <c r="Q14" s="9"/>
      <c r="R14" s="103"/>
      <c r="S14" s="10" t="s">
        <v>103</v>
      </c>
      <c r="T14" s="1"/>
      <c r="U14" s="1"/>
      <c r="V14" s="1"/>
      <c r="W14" s="9"/>
    </row>
    <row r="15" spans="1:23" x14ac:dyDescent="0.35">
      <c r="A15" s="1">
        <v>14</v>
      </c>
      <c r="B15" s="1" t="s">
        <v>38</v>
      </c>
      <c r="C15" s="1">
        <v>47</v>
      </c>
      <c r="D15" s="1">
        <v>50</v>
      </c>
      <c r="E15" s="1">
        <v>48</v>
      </c>
      <c r="F15" s="1">
        <v>46</v>
      </c>
      <c r="G15" s="1">
        <v>52</v>
      </c>
      <c r="K15" s="24"/>
      <c r="L15" s="42" t="s">
        <v>80</v>
      </c>
      <c r="M15" s="29"/>
      <c r="N15" s="1"/>
      <c r="O15" s="1"/>
      <c r="P15" s="1"/>
      <c r="Q15" s="9"/>
      <c r="R15" s="103"/>
      <c r="S15" s="10"/>
      <c r="T15" s="1"/>
      <c r="U15" s="1"/>
      <c r="V15" s="1"/>
      <c r="W15" s="9"/>
    </row>
    <row r="16" spans="1:23" x14ac:dyDescent="0.35">
      <c r="A16" s="1">
        <v>15</v>
      </c>
      <c r="B16" s="1" t="s">
        <v>39</v>
      </c>
      <c r="C16" s="1">
        <v>35</v>
      </c>
      <c r="D16" s="1">
        <v>38</v>
      </c>
      <c r="E16" s="1">
        <v>40</v>
      </c>
      <c r="F16" s="1">
        <v>37</v>
      </c>
      <c r="G16" s="1">
        <v>42</v>
      </c>
      <c r="K16" s="24"/>
      <c r="L16" s="42"/>
      <c r="M16" s="29"/>
      <c r="N16" s="1"/>
      <c r="O16" s="1"/>
      <c r="P16" s="1"/>
      <c r="Q16" s="9"/>
      <c r="R16" s="103"/>
      <c r="S16" s="10"/>
      <c r="T16" s="1"/>
      <c r="U16" s="1"/>
      <c r="V16" s="1"/>
      <c r="W16" s="9"/>
    </row>
    <row r="17" spans="1:23" x14ac:dyDescent="0.35">
      <c r="A17" s="1">
        <v>16</v>
      </c>
      <c r="B17" s="1" t="s">
        <v>40</v>
      </c>
      <c r="C17" s="1">
        <v>81</v>
      </c>
      <c r="D17" s="1">
        <v>84</v>
      </c>
      <c r="E17" s="1">
        <v>83</v>
      </c>
      <c r="F17" s="1">
        <v>80</v>
      </c>
      <c r="G17" s="1">
        <v>86</v>
      </c>
      <c r="K17" s="24"/>
      <c r="L17" s="95" t="s">
        <v>2</v>
      </c>
      <c r="M17" s="2" t="s">
        <v>20</v>
      </c>
      <c r="N17" s="1"/>
      <c r="O17" s="1"/>
      <c r="P17" s="1"/>
      <c r="Q17" s="9"/>
      <c r="R17" s="103"/>
      <c r="S17" s="10"/>
      <c r="T17" s="1"/>
      <c r="U17" s="1"/>
      <c r="V17" s="1"/>
      <c r="W17" s="9"/>
    </row>
    <row r="18" spans="1:23" x14ac:dyDescent="0.35">
      <c r="A18" s="1">
        <v>17</v>
      </c>
      <c r="B18" s="1" t="s">
        <v>41</v>
      </c>
      <c r="C18" s="1">
        <v>59</v>
      </c>
      <c r="D18" s="1">
        <v>62</v>
      </c>
      <c r="E18" s="1">
        <v>60</v>
      </c>
      <c r="F18" s="1">
        <v>58</v>
      </c>
      <c r="G18" s="1">
        <v>64</v>
      </c>
      <c r="K18" s="24"/>
      <c r="L18" s="96" t="s">
        <v>3</v>
      </c>
      <c r="M18" s="1">
        <f>VLOOKUP($M$17,$B$2:$G$51,ROW(C2),0)</f>
        <v>82</v>
      </c>
      <c r="N18" s="1"/>
      <c r="O18" s="1"/>
      <c r="P18" s="1"/>
      <c r="Q18" s="9"/>
      <c r="R18" s="103"/>
      <c r="S18" s="10"/>
      <c r="T18" s="1"/>
      <c r="U18" s="1"/>
      <c r="V18" s="1"/>
      <c r="W18" s="9"/>
    </row>
    <row r="19" spans="1:23" x14ac:dyDescent="0.35">
      <c r="A19" s="1">
        <v>18</v>
      </c>
      <c r="B19" s="1" t="s">
        <v>42</v>
      </c>
      <c r="C19" s="1">
        <v>73</v>
      </c>
      <c r="D19" s="1">
        <v>77</v>
      </c>
      <c r="E19" s="1">
        <v>75</v>
      </c>
      <c r="F19" s="1">
        <v>72</v>
      </c>
      <c r="G19" s="1">
        <v>79</v>
      </c>
      <c r="J19" t="s">
        <v>81</v>
      </c>
      <c r="K19" s="24"/>
      <c r="L19" s="96" t="s">
        <v>4</v>
      </c>
      <c r="M19" s="1">
        <f>VLOOKUP($M$17,$B$2:$G$51,ROW(C3),0)</f>
        <v>88</v>
      </c>
      <c r="N19" s="1"/>
      <c r="O19" s="1"/>
      <c r="P19" s="1"/>
      <c r="Q19" s="9"/>
      <c r="R19" s="103"/>
      <c r="S19" s="10"/>
      <c r="T19" s="1"/>
      <c r="U19" s="1"/>
      <c r="V19" s="1"/>
      <c r="W19" s="9"/>
    </row>
    <row r="20" spans="1:23" x14ac:dyDescent="0.35">
      <c r="A20" s="1">
        <v>19</v>
      </c>
      <c r="B20" s="1" t="s">
        <v>43</v>
      </c>
      <c r="C20" s="1">
        <v>44</v>
      </c>
      <c r="D20" s="1">
        <v>48</v>
      </c>
      <c r="E20" s="1">
        <v>45</v>
      </c>
      <c r="F20" s="1">
        <v>46</v>
      </c>
      <c r="G20" s="1">
        <v>50</v>
      </c>
      <c r="K20" s="24"/>
      <c r="L20" s="96" t="s">
        <v>5</v>
      </c>
      <c r="M20" s="1">
        <f>VLOOKUP($M$17,$B$2:$G$51,ROW(C4),0)</f>
        <v>85</v>
      </c>
      <c r="N20" s="1"/>
      <c r="O20" s="1"/>
      <c r="P20" s="1"/>
      <c r="Q20" s="9"/>
      <c r="R20" s="103"/>
      <c r="S20" s="10"/>
      <c r="T20" s="1"/>
      <c r="U20" s="1"/>
      <c r="V20" s="1"/>
      <c r="W20" s="9"/>
    </row>
    <row r="21" spans="1:23" x14ac:dyDescent="0.35">
      <c r="A21" s="1">
        <v>20</v>
      </c>
      <c r="B21" s="1" t="s">
        <v>44</v>
      </c>
      <c r="C21" s="1">
        <v>88</v>
      </c>
      <c r="D21" s="1">
        <v>90</v>
      </c>
      <c r="E21" s="1">
        <v>89</v>
      </c>
      <c r="F21" s="1">
        <v>87</v>
      </c>
      <c r="G21" s="1">
        <v>92</v>
      </c>
      <c r="K21" s="24"/>
      <c r="L21" s="96" t="s">
        <v>6</v>
      </c>
      <c r="M21" s="1">
        <f>VLOOKUP($M$17,$B$2:$G$51,ROW(C5),0)</f>
        <v>80</v>
      </c>
      <c r="N21" s="1"/>
      <c r="O21" s="1"/>
      <c r="P21" s="1"/>
      <c r="Q21" s="9"/>
      <c r="R21" s="103"/>
      <c r="S21" s="10"/>
      <c r="T21" s="1"/>
      <c r="U21" s="1"/>
      <c r="V21" s="1"/>
      <c r="W21" s="9"/>
    </row>
    <row r="22" spans="1:23" ht="15" thickBot="1" x14ac:dyDescent="0.4">
      <c r="A22" s="1">
        <v>21</v>
      </c>
      <c r="B22" s="1" t="s">
        <v>45</v>
      </c>
      <c r="C22" s="1">
        <v>51</v>
      </c>
      <c r="D22" s="1">
        <v>54</v>
      </c>
      <c r="E22" s="1">
        <v>52</v>
      </c>
      <c r="F22" s="1">
        <v>50</v>
      </c>
      <c r="G22" s="1">
        <v>56</v>
      </c>
      <c r="K22" s="24"/>
      <c r="L22" s="97" t="s">
        <v>7</v>
      </c>
      <c r="M22" s="12">
        <f>VLOOKUP($M$17,$B$2:$G$51,ROW(C6),0)</f>
        <v>90</v>
      </c>
      <c r="N22" s="12"/>
      <c r="O22" s="12"/>
      <c r="P22" s="12"/>
      <c r="Q22" s="13"/>
      <c r="R22" s="104"/>
      <c r="S22" s="11"/>
      <c r="T22" s="12"/>
      <c r="U22" s="12"/>
      <c r="V22" s="12"/>
      <c r="W22" s="13"/>
    </row>
    <row r="23" spans="1:23" x14ac:dyDescent="0.35">
      <c r="A23" s="1">
        <v>22</v>
      </c>
      <c r="B23" s="1" t="s">
        <v>46</v>
      </c>
      <c r="C23" s="1">
        <v>79</v>
      </c>
      <c r="D23" s="1">
        <v>82</v>
      </c>
      <c r="E23" s="1">
        <v>80</v>
      </c>
      <c r="F23" s="1">
        <v>78</v>
      </c>
      <c r="G23" s="1">
        <v>85</v>
      </c>
    </row>
    <row r="24" spans="1:23" x14ac:dyDescent="0.35">
      <c r="A24" s="1">
        <v>23</v>
      </c>
      <c r="B24" s="1" t="s">
        <v>47</v>
      </c>
      <c r="C24" s="1">
        <v>63</v>
      </c>
      <c r="D24" s="1">
        <v>66</v>
      </c>
      <c r="E24" s="1">
        <v>64</v>
      </c>
      <c r="F24" s="1">
        <v>62</v>
      </c>
      <c r="G24" s="1">
        <v>68</v>
      </c>
    </row>
    <row r="25" spans="1:23" x14ac:dyDescent="0.35">
      <c r="A25" s="1">
        <v>24</v>
      </c>
      <c r="B25" s="1" t="s">
        <v>48</v>
      </c>
      <c r="C25" s="1">
        <v>39</v>
      </c>
      <c r="D25" s="1">
        <v>42</v>
      </c>
      <c r="E25" s="1">
        <v>40</v>
      </c>
      <c r="F25" s="1">
        <v>38</v>
      </c>
      <c r="G25" s="1">
        <v>45</v>
      </c>
    </row>
    <row r="26" spans="1:23" x14ac:dyDescent="0.35">
      <c r="A26" s="1">
        <v>25</v>
      </c>
      <c r="B26" s="1" t="s">
        <v>49</v>
      </c>
      <c r="C26" s="1">
        <v>85</v>
      </c>
      <c r="D26" s="1">
        <v>88</v>
      </c>
      <c r="E26" s="1">
        <v>87</v>
      </c>
      <c r="F26" s="1">
        <v>84</v>
      </c>
      <c r="G26" s="1">
        <v>90</v>
      </c>
    </row>
    <row r="27" spans="1:23" x14ac:dyDescent="0.35">
      <c r="A27" s="1">
        <v>26</v>
      </c>
      <c r="B27" s="1" t="s">
        <v>50</v>
      </c>
      <c r="C27" s="1">
        <v>56</v>
      </c>
      <c r="D27" s="1">
        <v>59</v>
      </c>
      <c r="E27" s="1">
        <v>58</v>
      </c>
      <c r="F27" s="1">
        <v>55</v>
      </c>
      <c r="G27" s="1">
        <v>61</v>
      </c>
    </row>
    <row r="28" spans="1:23" x14ac:dyDescent="0.35">
      <c r="A28" s="1">
        <v>27</v>
      </c>
      <c r="B28" s="1" t="s">
        <v>51</v>
      </c>
      <c r="C28" s="1">
        <v>72</v>
      </c>
      <c r="D28" s="1">
        <v>75</v>
      </c>
      <c r="E28" s="1">
        <v>73</v>
      </c>
      <c r="F28" s="1">
        <v>71</v>
      </c>
      <c r="G28" s="1">
        <v>78</v>
      </c>
    </row>
    <row r="29" spans="1:23" x14ac:dyDescent="0.35">
      <c r="A29" s="1">
        <v>28</v>
      </c>
      <c r="B29" s="1" t="s">
        <v>52</v>
      </c>
      <c r="C29" s="1">
        <v>33</v>
      </c>
      <c r="D29" s="1">
        <v>36</v>
      </c>
      <c r="E29" s="1">
        <v>35</v>
      </c>
      <c r="F29" s="1">
        <v>34</v>
      </c>
      <c r="G29" s="1">
        <v>38</v>
      </c>
    </row>
    <row r="30" spans="1:23" x14ac:dyDescent="0.35">
      <c r="A30" s="1">
        <v>29</v>
      </c>
      <c r="B30" s="1" t="s">
        <v>53</v>
      </c>
      <c r="C30" s="1">
        <v>66</v>
      </c>
      <c r="D30" s="1">
        <v>69</v>
      </c>
      <c r="E30" s="1">
        <v>67</v>
      </c>
      <c r="F30" s="1">
        <v>65</v>
      </c>
      <c r="G30" s="1">
        <v>71</v>
      </c>
    </row>
    <row r="31" spans="1:23" x14ac:dyDescent="0.35">
      <c r="A31" s="1">
        <v>30</v>
      </c>
      <c r="B31" s="1" t="s">
        <v>54</v>
      </c>
      <c r="C31" s="1">
        <v>91</v>
      </c>
      <c r="D31" s="1">
        <v>94</v>
      </c>
      <c r="E31" s="1">
        <v>92</v>
      </c>
      <c r="F31" s="1">
        <v>90</v>
      </c>
      <c r="G31" s="1">
        <v>96</v>
      </c>
    </row>
    <row r="32" spans="1:23" x14ac:dyDescent="0.35">
      <c r="A32" s="1">
        <v>31</v>
      </c>
      <c r="B32" s="1" t="s">
        <v>55</v>
      </c>
      <c r="C32" s="1">
        <v>48</v>
      </c>
      <c r="D32" s="1">
        <v>50</v>
      </c>
      <c r="E32" s="1">
        <v>49</v>
      </c>
      <c r="F32" s="1">
        <v>47</v>
      </c>
      <c r="G32" s="1">
        <v>53</v>
      </c>
    </row>
    <row r="33" spans="1:7" x14ac:dyDescent="0.35">
      <c r="A33" s="1">
        <v>32</v>
      </c>
      <c r="B33" s="1" t="s">
        <v>56</v>
      </c>
      <c r="C33" s="1">
        <v>77</v>
      </c>
      <c r="D33" s="1">
        <v>80</v>
      </c>
      <c r="E33" s="1">
        <v>78</v>
      </c>
      <c r="F33" s="1">
        <v>76</v>
      </c>
      <c r="G33" s="1">
        <v>83</v>
      </c>
    </row>
    <row r="34" spans="1:7" x14ac:dyDescent="0.35">
      <c r="A34" s="1">
        <v>33</v>
      </c>
      <c r="B34" s="1" t="s">
        <v>57</v>
      </c>
      <c r="C34" s="1">
        <v>60</v>
      </c>
      <c r="D34" s="1">
        <v>63</v>
      </c>
      <c r="E34" s="1">
        <v>61</v>
      </c>
      <c r="F34" s="1">
        <v>59</v>
      </c>
      <c r="G34" s="1">
        <v>65</v>
      </c>
    </row>
    <row r="35" spans="1:7" x14ac:dyDescent="0.35">
      <c r="A35" s="1">
        <v>34</v>
      </c>
      <c r="B35" s="1" t="s">
        <v>58</v>
      </c>
      <c r="C35" s="1">
        <v>42</v>
      </c>
      <c r="D35" s="1">
        <v>45</v>
      </c>
      <c r="E35" s="1">
        <v>43</v>
      </c>
      <c r="F35" s="1">
        <v>41</v>
      </c>
      <c r="G35" s="1">
        <v>47</v>
      </c>
    </row>
    <row r="36" spans="1:7" x14ac:dyDescent="0.35">
      <c r="A36" s="1">
        <v>35</v>
      </c>
      <c r="B36" s="1" t="s">
        <v>59</v>
      </c>
      <c r="C36" s="1">
        <v>84</v>
      </c>
      <c r="D36" s="1">
        <v>87</v>
      </c>
      <c r="E36" s="1">
        <v>85</v>
      </c>
      <c r="F36" s="1">
        <v>82</v>
      </c>
      <c r="G36" s="1">
        <v>89</v>
      </c>
    </row>
    <row r="37" spans="1:7" x14ac:dyDescent="0.35">
      <c r="A37" s="1">
        <v>36</v>
      </c>
      <c r="B37" s="1" t="s">
        <v>60</v>
      </c>
      <c r="C37" s="1">
        <v>55</v>
      </c>
      <c r="D37" s="1">
        <v>58</v>
      </c>
      <c r="E37" s="1">
        <v>56</v>
      </c>
      <c r="F37" s="1">
        <v>54</v>
      </c>
      <c r="G37" s="1">
        <v>60</v>
      </c>
    </row>
    <row r="38" spans="1:7" x14ac:dyDescent="0.35">
      <c r="A38" s="1">
        <v>37</v>
      </c>
      <c r="B38" s="1" t="s">
        <v>61</v>
      </c>
      <c r="C38" s="1">
        <v>70</v>
      </c>
      <c r="D38" s="1">
        <v>73</v>
      </c>
      <c r="E38" s="1">
        <v>71</v>
      </c>
      <c r="F38" s="1">
        <v>69</v>
      </c>
      <c r="G38" s="1">
        <v>75</v>
      </c>
    </row>
    <row r="39" spans="1:7" x14ac:dyDescent="0.35">
      <c r="A39" s="1">
        <v>38</v>
      </c>
      <c r="B39" s="1" t="s">
        <v>62</v>
      </c>
      <c r="C39" s="1">
        <v>36</v>
      </c>
      <c r="D39" s="1">
        <v>39</v>
      </c>
      <c r="E39" s="1">
        <v>38</v>
      </c>
      <c r="F39" s="1">
        <v>37</v>
      </c>
      <c r="G39" s="1">
        <v>40</v>
      </c>
    </row>
    <row r="40" spans="1:7" x14ac:dyDescent="0.35">
      <c r="A40" s="1">
        <v>39</v>
      </c>
      <c r="B40" s="1" t="s">
        <v>63</v>
      </c>
      <c r="C40" s="1">
        <v>64</v>
      </c>
      <c r="D40" s="1">
        <v>67</v>
      </c>
      <c r="E40" s="1">
        <v>65</v>
      </c>
      <c r="F40" s="1">
        <v>63</v>
      </c>
      <c r="G40" s="1">
        <v>69</v>
      </c>
    </row>
    <row r="41" spans="1:7" x14ac:dyDescent="0.35">
      <c r="A41" s="1">
        <v>40</v>
      </c>
      <c r="B41" s="1" t="s">
        <v>64</v>
      </c>
      <c r="C41" s="1">
        <v>78</v>
      </c>
      <c r="D41" s="1">
        <v>81</v>
      </c>
      <c r="E41" s="1">
        <v>79</v>
      </c>
      <c r="F41" s="1">
        <v>77</v>
      </c>
      <c r="G41" s="1">
        <v>84</v>
      </c>
    </row>
    <row r="42" spans="1:7" x14ac:dyDescent="0.35">
      <c r="A42" s="1">
        <v>41</v>
      </c>
      <c r="B42" s="1" t="s">
        <v>65</v>
      </c>
      <c r="C42" s="1">
        <v>46</v>
      </c>
      <c r="D42" s="1">
        <v>49</v>
      </c>
      <c r="E42" s="1">
        <v>47</v>
      </c>
      <c r="F42" s="1">
        <v>45</v>
      </c>
      <c r="G42" s="1">
        <v>51</v>
      </c>
    </row>
    <row r="43" spans="1:7" x14ac:dyDescent="0.35">
      <c r="A43" s="1">
        <v>42</v>
      </c>
      <c r="B43" s="1" t="s">
        <v>66</v>
      </c>
      <c r="C43" s="1">
        <v>86</v>
      </c>
      <c r="D43" s="1">
        <v>89</v>
      </c>
      <c r="E43" s="1">
        <v>88</v>
      </c>
      <c r="F43" s="1">
        <v>85</v>
      </c>
      <c r="G43" s="1">
        <v>91</v>
      </c>
    </row>
    <row r="44" spans="1:7" x14ac:dyDescent="0.35">
      <c r="A44" s="1">
        <v>43</v>
      </c>
      <c r="B44" s="1" t="s">
        <v>67</v>
      </c>
      <c r="C44" s="1">
        <v>57</v>
      </c>
      <c r="D44" s="1">
        <v>60</v>
      </c>
      <c r="E44" s="1">
        <v>58</v>
      </c>
      <c r="F44" s="1">
        <v>56</v>
      </c>
      <c r="G44" s="1">
        <v>62</v>
      </c>
    </row>
    <row r="45" spans="1:7" x14ac:dyDescent="0.35">
      <c r="A45" s="1">
        <v>44</v>
      </c>
      <c r="B45" s="1" t="s">
        <v>68</v>
      </c>
      <c r="C45" s="1">
        <v>40</v>
      </c>
      <c r="D45" s="1">
        <v>43</v>
      </c>
      <c r="E45" s="1">
        <v>41</v>
      </c>
      <c r="F45" s="1">
        <v>39</v>
      </c>
      <c r="G45" s="1">
        <v>45</v>
      </c>
    </row>
    <row r="46" spans="1:7" x14ac:dyDescent="0.35">
      <c r="A46" s="1">
        <v>45</v>
      </c>
      <c r="B46" s="1" t="s">
        <v>69</v>
      </c>
      <c r="C46" s="1">
        <v>83</v>
      </c>
      <c r="D46" s="1">
        <v>86</v>
      </c>
      <c r="E46" s="1">
        <v>84</v>
      </c>
      <c r="F46" s="1">
        <v>82</v>
      </c>
      <c r="G46" s="1">
        <v>88</v>
      </c>
    </row>
    <row r="47" spans="1:7" x14ac:dyDescent="0.35">
      <c r="A47" s="1">
        <v>46</v>
      </c>
      <c r="B47" s="1" t="s">
        <v>70</v>
      </c>
      <c r="C47" s="1">
        <v>69</v>
      </c>
      <c r="D47" s="1">
        <v>72</v>
      </c>
      <c r="E47" s="1">
        <v>70</v>
      </c>
      <c r="F47" s="1">
        <v>68</v>
      </c>
      <c r="G47" s="1">
        <v>74</v>
      </c>
    </row>
    <row r="48" spans="1:7" x14ac:dyDescent="0.35">
      <c r="A48" s="1">
        <v>47</v>
      </c>
      <c r="B48" s="1" t="s">
        <v>71</v>
      </c>
      <c r="C48" s="1">
        <v>52</v>
      </c>
      <c r="D48" s="1">
        <v>55</v>
      </c>
      <c r="E48" s="1">
        <v>53</v>
      </c>
      <c r="F48" s="1">
        <v>51</v>
      </c>
      <c r="G48" s="1">
        <v>57</v>
      </c>
    </row>
    <row r="49" spans="1:7" x14ac:dyDescent="0.35">
      <c r="A49" s="1">
        <v>48</v>
      </c>
      <c r="B49" s="1" t="s">
        <v>72</v>
      </c>
      <c r="C49" s="1">
        <v>90</v>
      </c>
      <c r="D49" s="1">
        <v>93</v>
      </c>
      <c r="E49" s="1">
        <v>91</v>
      </c>
      <c r="F49" s="1">
        <v>89</v>
      </c>
      <c r="G49" s="1">
        <v>95</v>
      </c>
    </row>
    <row r="50" spans="1:7" x14ac:dyDescent="0.35">
      <c r="A50" s="1">
        <v>49</v>
      </c>
      <c r="B50" s="1" t="s">
        <v>73</v>
      </c>
      <c r="C50" s="1">
        <v>61</v>
      </c>
      <c r="D50" s="1">
        <v>64</v>
      </c>
      <c r="E50" s="1">
        <v>62</v>
      </c>
      <c r="F50" s="1">
        <v>60</v>
      </c>
      <c r="G50" s="1">
        <v>66</v>
      </c>
    </row>
    <row r="51" spans="1:7" x14ac:dyDescent="0.35">
      <c r="A51" s="1">
        <v>50</v>
      </c>
      <c r="B51" s="1" t="s">
        <v>74</v>
      </c>
      <c r="C51" s="1">
        <v>75</v>
      </c>
      <c r="D51" s="1">
        <v>78</v>
      </c>
      <c r="E51" s="1">
        <v>76</v>
      </c>
      <c r="F51" s="1">
        <v>74</v>
      </c>
      <c r="G51" s="1">
        <v>81</v>
      </c>
    </row>
  </sheetData>
  <mergeCells count="6">
    <mergeCell ref="L4:Q5"/>
    <mergeCell ref="L10:Q11"/>
    <mergeCell ref="L15:M16"/>
    <mergeCell ref="S4:W5"/>
    <mergeCell ref="L2:W3"/>
    <mergeCell ref="S11:W12"/>
  </mergeCells>
  <dataValidations count="1">
    <dataValidation type="list" allowBlank="1" showInputMessage="1" showErrorMessage="1" sqref="L13 L7:L8 M17" xr:uid="{02477AEE-0D1D-4918-AD9D-BD6A75D2FC25}">
      <formula1>$B$2:$B$53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F0938-AE82-45C5-9768-1BA416A81E98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85961-DECB-4202-8C46-0B2DFB28D12F}">
  <dimension ref="A1:U51"/>
  <sheetViews>
    <sheetView topLeftCell="H1" workbookViewId="0">
      <selection activeCell="J1" sqref="J1:Q2"/>
    </sheetView>
  </sheetViews>
  <sheetFormatPr defaultRowHeight="14.5" x14ac:dyDescent="0.35"/>
  <cols>
    <col min="9" max="9" width="9.7265625" bestFit="1" customWidth="1"/>
    <col min="10" max="10" width="6.90625" bestFit="1" customWidth="1"/>
    <col min="11" max="11" width="12.453125" bestFit="1" customWidth="1"/>
    <col min="12" max="12" width="13.08984375" bestFit="1" customWidth="1"/>
    <col min="13" max="13" width="11.08984375" bestFit="1" customWidth="1"/>
    <col min="14" max="14" width="9.81640625" bestFit="1" customWidth="1"/>
    <col min="15" max="15" width="11.26953125" bestFit="1" customWidth="1"/>
    <col min="16" max="16" width="9.7265625" bestFit="1" customWidth="1"/>
    <col min="17" max="17" width="11.81640625" bestFit="1" customWidth="1"/>
    <col min="18" max="18" width="9.26953125" bestFit="1" customWidth="1"/>
    <col min="19" max="19" width="11.90625" bestFit="1" customWidth="1"/>
    <col min="20" max="20" width="11.36328125" bestFit="1" customWidth="1"/>
    <col min="21" max="21" width="13.6328125" bestFit="1" customWidth="1"/>
  </cols>
  <sheetData>
    <row r="1" spans="1:21" ht="14.5" customHeight="1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I1" s="24"/>
      <c r="J1" s="47" t="s">
        <v>91</v>
      </c>
      <c r="K1" s="48"/>
      <c r="L1" s="48"/>
      <c r="M1" s="48"/>
      <c r="N1" s="48"/>
      <c r="O1" s="48"/>
      <c r="P1" s="48"/>
      <c r="Q1" s="49"/>
      <c r="R1" s="14"/>
      <c r="S1" s="1"/>
      <c r="T1" s="1"/>
      <c r="U1" s="1"/>
    </row>
    <row r="2" spans="1:21" ht="15" thickBot="1" x14ac:dyDescent="0.4">
      <c r="A2" s="1">
        <v>1</v>
      </c>
      <c r="B2" s="1" t="s">
        <v>12</v>
      </c>
      <c r="C2" s="1">
        <v>68</v>
      </c>
      <c r="D2" s="1">
        <v>72</v>
      </c>
      <c r="E2" s="1">
        <v>70</v>
      </c>
      <c r="F2" s="1">
        <v>66</v>
      </c>
      <c r="G2" s="1">
        <v>75</v>
      </c>
      <c r="I2" s="24"/>
      <c r="J2" s="50"/>
      <c r="K2" s="51"/>
      <c r="L2" s="51"/>
      <c r="M2" s="51"/>
      <c r="N2" s="51"/>
      <c r="O2" s="51"/>
      <c r="P2" s="51"/>
      <c r="Q2" s="52"/>
      <c r="R2" s="14"/>
      <c r="S2" s="1"/>
      <c r="T2" s="1"/>
      <c r="U2" s="1"/>
    </row>
    <row r="3" spans="1:21" x14ac:dyDescent="0.35">
      <c r="A3" s="1">
        <v>2</v>
      </c>
      <c r="B3" s="1" t="s">
        <v>15</v>
      </c>
      <c r="C3" s="1">
        <v>74</v>
      </c>
      <c r="D3" s="1">
        <v>81</v>
      </c>
      <c r="E3" s="1">
        <v>78</v>
      </c>
      <c r="F3" s="1">
        <v>76</v>
      </c>
      <c r="G3" s="1">
        <v>82</v>
      </c>
      <c r="I3" s="24"/>
      <c r="J3" s="30" t="s">
        <v>82</v>
      </c>
      <c r="K3" s="31"/>
      <c r="L3" s="32"/>
      <c r="M3" s="22"/>
      <c r="N3" s="6"/>
      <c r="O3" s="6"/>
      <c r="P3" s="6"/>
      <c r="Q3" s="6"/>
      <c r="R3" s="1"/>
      <c r="S3" s="1"/>
      <c r="T3" s="1"/>
      <c r="U3" s="1"/>
    </row>
    <row r="4" spans="1:21" ht="15" thickBot="1" x14ac:dyDescent="0.4">
      <c r="A4" s="1">
        <v>3</v>
      </c>
      <c r="B4" s="1" t="s">
        <v>17</v>
      </c>
      <c r="C4" s="1">
        <v>45</v>
      </c>
      <c r="D4" s="1">
        <v>52</v>
      </c>
      <c r="E4" s="1">
        <v>48</v>
      </c>
      <c r="F4" s="1">
        <v>50</v>
      </c>
      <c r="G4" s="1">
        <v>55</v>
      </c>
      <c r="I4" s="24"/>
      <c r="J4" s="33"/>
      <c r="K4" s="34"/>
      <c r="L4" s="35"/>
      <c r="M4" s="14"/>
      <c r="N4" s="1"/>
      <c r="O4" s="1"/>
      <c r="P4" s="1"/>
      <c r="Q4" s="1"/>
      <c r="R4" s="1"/>
      <c r="S4" s="1"/>
      <c r="T4" s="1"/>
      <c r="U4" s="1"/>
    </row>
    <row r="5" spans="1:21" x14ac:dyDescent="0.35">
      <c r="A5" s="1">
        <v>4</v>
      </c>
      <c r="B5" s="1" t="s">
        <v>20</v>
      </c>
      <c r="C5" s="1">
        <v>82</v>
      </c>
      <c r="D5" s="1">
        <v>88</v>
      </c>
      <c r="E5" s="1">
        <v>85</v>
      </c>
      <c r="F5" s="1">
        <v>80</v>
      </c>
      <c r="G5" s="1">
        <v>90</v>
      </c>
      <c r="I5" s="1"/>
      <c r="J5" s="4" t="s">
        <v>6</v>
      </c>
      <c r="K5" s="4">
        <f>HLOOKUP($J$5,$B$1:$G$51,5,0)</f>
        <v>80</v>
      </c>
      <c r="L5" s="4"/>
      <c r="M5" s="1"/>
      <c r="N5" s="1"/>
      <c r="O5" s="1"/>
      <c r="P5" s="1"/>
      <c r="Q5" s="1"/>
      <c r="R5" s="1"/>
      <c r="S5" s="1"/>
      <c r="T5" s="1"/>
      <c r="U5" s="1"/>
    </row>
    <row r="6" spans="1:21" x14ac:dyDescent="0.35">
      <c r="A6" s="1">
        <v>5</v>
      </c>
      <c r="B6" s="1" t="s">
        <v>22</v>
      </c>
      <c r="C6" s="1">
        <v>34</v>
      </c>
      <c r="D6" s="1">
        <v>42</v>
      </c>
      <c r="E6" s="1">
        <v>38</v>
      </c>
      <c r="F6" s="1">
        <v>40</v>
      </c>
      <c r="G6" s="1">
        <v>45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35">
      <c r="A7" s="1">
        <v>6</v>
      </c>
      <c r="B7" s="1" t="s">
        <v>25</v>
      </c>
      <c r="C7" s="1">
        <v>71</v>
      </c>
      <c r="D7" s="1">
        <v>69</v>
      </c>
      <c r="E7" s="1">
        <v>73</v>
      </c>
      <c r="F7" s="1">
        <v>70</v>
      </c>
      <c r="G7" s="1">
        <v>76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5" thickBot="1" x14ac:dyDescent="0.4">
      <c r="A8" s="1">
        <v>7</v>
      </c>
      <c r="B8" s="1" t="s">
        <v>28</v>
      </c>
      <c r="C8" s="1">
        <v>58</v>
      </c>
      <c r="D8" s="1">
        <v>61</v>
      </c>
      <c r="E8" s="1">
        <v>60</v>
      </c>
      <c r="F8" s="1">
        <v>57</v>
      </c>
      <c r="G8" s="1">
        <v>62</v>
      </c>
      <c r="I8" s="1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</row>
    <row r="9" spans="1:21" x14ac:dyDescent="0.35">
      <c r="A9" s="1">
        <v>8</v>
      </c>
      <c r="B9" s="1" t="s">
        <v>31</v>
      </c>
      <c r="C9" s="1">
        <v>89</v>
      </c>
      <c r="D9" s="1">
        <v>92</v>
      </c>
      <c r="E9" s="1">
        <v>90</v>
      </c>
      <c r="F9" s="1">
        <v>88</v>
      </c>
      <c r="G9" s="1">
        <v>94</v>
      </c>
      <c r="I9" s="24"/>
      <c r="J9" s="36" t="s">
        <v>83</v>
      </c>
      <c r="K9" s="37"/>
      <c r="L9" s="37"/>
      <c r="M9" s="38"/>
      <c r="N9" s="14"/>
      <c r="O9" s="1"/>
      <c r="P9" s="1"/>
      <c r="Q9" s="1"/>
      <c r="R9" s="1"/>
      <c r="S9" s="1"/>
      <c r="T9" s="1"/>
      <c r="U9" s="1"/>
    </row>
    <row r="10" spans="1:21" ht="15" thickBot="1" x14ac:dyDescent="0.4">
      <c r="A10" s="1">
        <v>9</v>
      </c>
      <c r="B10" s="1" t="s">
        <v>33</v>
      </c>
      <c r="C10" s="1">
        <v>41</v>
      </c>
      <c r="D10" s="1">
        <v>45</v>
      </c>
      <c r="E10" s="1">
        <v>43</v>
      </c>
      <c r="F10" s="1">
        <v>44</v>
      </c>
      <c r="G10" s="1">
        <v>46</v>
      </c>
      <c r="I10" s="24"/>
      <c r="J10" s="33"/>
      <c r="K10" s="34"/>
      <c r="L10" s="34"/>
      <c r="M10" s="35"/>
      <c r="N10" s="14"/>
      <c r="O10" s="1"/>
      <c r="P10" s="1"/>
      <c r="Q10" s="1"/>
      <c r="R10" s="1"/>
      <c r="S10" s="1"/>
      <c r="T10" s="1"/>
      <c r="U10" s="1"/>
    </row>
    <row r="11" spans="1:21" x14ac:dyDescent="0.35">
      <c r="A11" s="1">
        <v>10</v>
      </c>
      <c r="B11" s="1" t="s">
        <v>34</v>
      </c>
      <c r="C11" s="1">
        <v>67</v>
      </c>
      <c r="D11" s="1">
        <v>70</v>
      </c>
      <c r="E11" s="1">
        <v>68</v>
      </c>
      <c r="F11" s="1">
        <v>65</v>
      </c>
      <c r="G11" s="1">
        <v>72</v>
      </c>
      <c r="I11" s="1"/>
      <c r="J11" s="4"/>
      <c r="K11" s="4" t="s">
        <v>12</v>
      </c>
      <c r="L11" s="4" t="s">
        <v>15</v>
      </c>
      <c r="M11" s="4" t="s">
        <v>17</v>
      </c>
      <c r="N11" s="3" t="s">
        <v>20</v>
      </c>
      <c r="O11" s="3" t="s">
        <v>22</v>
      </c>
      <c r="P11" s="3" t="s">
        <v>25</v>
      </c>
      <c r="Q11" s="3" t="s">
        <v>28</v>
      </c>
      <c r="R11" s="3" t="s">
        <v>31</v>
      </c>
      <c r="S11" s="3" t="s">
        <v>33</v>
      </c>
      <c r="T11" s="3" t="s">
        <v>34</v>
      </c>
      <c r="U11" s="3" t="s">
        <v>35</v>
      </c>
    </row>
    <row r="12" spans="1:21" x14ac:dyDescent="0.35">
      <c r="A12" s="1">
        <v>11</v>
      </c>
      <c r="B12" s="1" t="s">
        <v>35</v>
      </c>
      <c r="C12" s="1">
        <v>76</v>
      </c>
      <c r="D12" s="1">
        <v>80</v>
      </c>
      <c r="E12" s="1">
        <v>78</v>
      </c>
      <c r="F12" s="1">
        <v>75</v>
      </c>
      <c r="G12" s="1">
        <v>82</v>
      </c>
      <c r="I12" s="1"/>
      <c r="J12" s="1" t="s">
        <v>4</v>
      </c>
      <c r="K12" s="1">
        <f>HLOOKUP($J$12,$B$1:$G$51,COLUMN(B2),0)</f>
        <v>72</v>
      </c>
      <c r="L12" s="1">
        <f t="shared" ref="L12:U12" si="0">HLOOKUP($J$12,$B$1:$G$51,COLUMN(C2),0)</f>
        <v>81</v>
      </c>
      <c r="M12" s="1">
        <f t="shared" si="0"/>
        <v>52</v>
      </c>
      <c r="N12" s="1">
        <f t="shared" si="0"/>
        <v>88</v>
      </c>
      <c r="O12" s="1">
        <f t="shared" si="0"/>
        <v>42</v>
      </c>
      <c r="P12" s="1">
        <f t="shared" si="0"/>
        <v>69</v>
      </c>
      <c r="Q12" s="1">
        <f t="shared" si="0"/>
        <v>61</v>
      </c>
      <c r="R12" s="1">
        <f t="shared" si="0"/>
        <v>92</v>
      </c>
      <c r="S12" s="1">
        <f t="shared" si="0"/>
        <v>45</v>
      </c>
      <c r="T12" s="1">
        <f t="shared" si="0"/>
        <v>70</v>
      </c>
      <c r="U12" s="1">
        <f t="shared" si="0"/>
        <v>80</v>
      </c>
    </row>
    <row r="13" spans="1:21" ht="15" thickBot="1" x14ac:dyDescent="0.4">
      <c r="A13" s="1">
        <v>12</v>
      </c>
      <c r="B13" s="1" t="s">
        <v>36</v>
      </c>
      <c r="C13" s="1">
        <v>54</v>
      </c>
      <c r="D13" s="1">
        <v>58</v>
      </c>
      <c r="E13" s="1">
        <v>56</v>
      </c>
      <c r="F13" s="1">
        <v>55</v>
      </c>
      <c r="G13" s="1">
        <v>60</v>
      </c>
      <c r="I13" s="1"/>
      <c r="J13" s="5"/>
      <c r="K13" s="5"/>
      <c r="L13" s="5"/>
      <c r="M13" s="5"/>
      <c r="N13" s="1"/>
      <c r="O13" s="1"/>
      <c r="P13" s="1"/>
      <c r="Q13" s="1"/>
      <c r="R13" s="1"/>
      <c r="S13" s="1"/>
      <c r="T13" s="1"/>
      <c r="U13" s="1"/>
    </row>
    <row r="14" spans="1:21" x14ac:dyDescent="0.35">
      <c r="A14" s="1">
        <v>13</v>
      </c>
      <c r="B14" s="1" t="s">
        <v>37</v>
      </c>
      <c r="C14" s="1">
        <v>62</v>
      </c>
      <c r="D14" s="1">
        <v>65</v>
      </c>
      <c r="E14" s="1">
        <v>63</v>
      </c>
      <c r="F14" s="1">
        <v>61</v>
      </c>
      <c r="G14" s="1">
        <v>67</v>
      </c>
      <c r="I14" s="24"/>
      <c r="J14" s="39" t="s">
        <v>85</v>
      </c>
      <c r="K14" s="40"/>
      <c r="L14" s="40"/>
      <c r="M14" s="41"/>
      <c r="N14" s="14"/>
      <c r="O14" s="1"/>
      <c r="P14" s="1"/>
      <c r="Q14" s="1"/>
      <c r="R14" s="1"/>
      <c r="S14" s="1"/>
      <c r="T14" s="1"/>
      <c r="U14" s="1"/>
    </row>
    <row r="15" spans="1:21" x14ac:dyDescent="0.35">
      <c r="A15" s="1">
        <v>14</v>
      </c>
      <c r="B15" s="1" t="s">
        <v>38</v>
      </c>
      <c r="C15" s="1">
        <v>47</v>
      </c>
      <c r="D15" s="1">
        <v>50</v>
      </c>
      <c r="E15" s="1">
        <v>48</v>
      </c>
      <c r="F15" s="1">
        <v>46</v>
      </c>
      <c r="G15" s="1">
        <v>52</v>
      </c>
      <c r="I15" s="24"/>
      <c r="J15" s="42"/>
      <c r="K15" s="29"/>
      <c r="L15" s="29"/>
      <c r="M15" s="43"/>
      <c r="N15" s="14"/>
      <c r="O15" s="1"/>
      <c r="P15" s="1"/>
      <c r="Q15" s="1"/>
      <c r="R15" s="1"/>
      <c r="S15" s="1"/>
      <c r="T15" s="1"/>
      <c r="U15" s="1"/>
    </row>
    <row r="16" spans="1:21" ht="15" thickBot="1" x14ac:dyDescent="0.4">
      <c r="A16" s="1">
        <v>15</v>
      </c>
      <c r="B16" s="1" t="s">
        <v>39</v>
      </c>
      <c r="C16" s="1">
        <v>35</v>
      </c>
      <c r="D16" s="1">
        <v>38</v>
      </c>
      <c r="E16" s="1">
        <v>40</v>
      </c>
      <c r="F16" s="1">
        <v>37</v>
      </c>
      <c r="G16" s="1">
        <v>42</v>
      </c>
      <c r="I16" s="24"/>
      <c r="J16" s="44"/>
      <c r="K16" s="45"/>
      <c r="L16" s="45"/>
      <c r="M16" s="46"/>
      <c r="N16" s="14"/>
      <c r="O16" s="1"/>
      <c r="P16" s="1"/>
      <c r="Q16" s="1"/>
      <c r="R16" s="1"/>
      <c r="S16" s="1"/>
      <c r="T16" s="1"/>
      <c r="U16" s="1"/>
    </row>
    <row r="17" spans="1:21" x14ac:dyDescent="0.35">
      <c r="A17" s="1">
        <v>16</v>
      </c>
      <c r="B17" s="1" t="s">
        <v>40</v>
      </c>
      <c r="C17" s="1">
        <v>81</v>
      </c>
      <c r="D17" s="1">
        <v>84</v>
      </c>
      <c r="E17" s="1">
        <v>83</v>
      </c>
      <c r="F17" s="1">
        <v>80</v>
      </c>
      <c r="G17" s="1">
        <v>86</v>
      </c>
      <c r="I17" s="1" t="s">
        <v>84</v>
      </c>
      <c r="J17" s="6" t="s">
        <v>5</v>
      </c>
      <c r="K17" s="6">
        <f>MATCH(J17,B1:G1,0)</f>
        <v>4</v>
      </c>
      <c r="L17" s="6"/>
      <c r="M17" s="6"/>
      <c r="N17" s="1"/>
      <c r="O17" s="1"/>
      <c r="P17" s="1"/>
      <c r="Q17" s="1"/>
      <c r="R17" s="1"/>
      <c r="S17" s="1"/>
      <c r="T17" s="1"/>
      <c r="U17" s="1"/>
    </row>
    <row r="18" spans="1:21" x14ac:dyDescent="0.35">
      <c r="A18" s="1">
        <v>17</v>
      </c>
      <c r="B18" s="1" t="s">
        <v>41</v>
      </c>
      <c r="C18" s="1">
        <v>59</v>
      </c>
      <c r="D18" s="1">
        <v>62</v>
      </c>
      <c r="E18" s="1">
        <v>60</v>
      </c>
      <c r="F18" s="1">
        <v>58</v>
      </c>
      <c r="G18" s="1">
        <v>64</v>
      </c>
      <c r="I18" s="1" t="s">
        <v>25</v>
      </c>
      <c r="J18" s="1">
        <f>VLOOKUP(I18,B2:G51,MATCH(J17,B1:G1,0),0)</f>
        <v>73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35">
      <c r="A19" s="1">
        <v>18</v>
      </c>
      <c r="B19" s="1" t="s">
        <v>42</v>
      </c>
      <c r="C19" s="1">
        <v>73</v>
      </c>
      <c r="D19" s="1">
        <v>77</v>
      </c>
      <c r="E19" s="1">
        <v>75</v>
      </c>
      <c r="F19" s="1">
        <v>72</v>
      </c>
      <c r="G19" s="1">
        <v>79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35">
      <c r="A20" s="1">
        <v>19</v>
      </c>
      <c r="B20" s="1" t="s">
        <v>43</v>
      </c>
      <c r="C20" s="1">
        <v>44</v>
      </c>
      <c r="D20" s="1">
        <v>48</v>
      </c>
      <c r="E20" s="1">
        <v>45</v>
      </c>
      <c r="F20" s="1">
        <v>46</v>
      </c>
      <c r="G20" s="1">
        <v>50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35">
      <c r="A21" s="1">
        <v>20</v>
      </c>
      <c r="B21" s="1" t="s">
        <v>44</v>
      </c>
      <c r="C21" s="1">
        <v>88</v>
      </c>
      <c r="D21" s="1">
        <v>90</v>
      </c>
      <c r="E21" s="1">
        <v>89</v>
      </c>
      <c r="F21" s="1">
        <v>87</v>
      </c>
      <c r="G21" s="1">
        <v>92</v>
      </c>
    </row>
    <row r="22" spans="1:21" x14ac:dyDescent="0.35">
      <c r="A22" s="1">
        <v>21</v>
      </c>
      <c r="B22" s="1" t="s">
        <v>45</v>
      </c>
      <c r="C22" s="1">
        <v>51</v>
      </c>
      <c r="D22" s="1">
        <v>54</v>
      </c>
      <c r="E22" s="1">
        <v>52</v>
      </c>
      <c r="F22" s="1">
        <v>50</v>
      </c>
      <c r="G22" s="1">
        <v>56</v>
      </c>
    </row>
    <row r="23" spans="1:21" x14ac:dyDescent="0.35">
      <c r="A23" s="1">
        <v>22</v>
      </c>
      <c r="B23" s="1" t="s">
        <v>46</v>
      </c>
      <c r="C23" s="1">
        <v>79</v>
      </c>
      <c r="D23" s="1">
        <v>82</v>
      </c>
      <c r="E23" s="1">
        <v>80</v>
      </c>
      <c r="F23" s="1">
        <v>78</v>
      </c>
      <c r="G23" s="1">
        <v>85</v>
      </c>
    </row>
    <row r="24" spans="1:21" x14ac:dyDescent="0.35">
      <c r="A24" s="1">
        <v>23</v>
      </c>
      <c r="B24" s="1" t="s">
        <v>47</v>
      </c>
      <c r="C24" s="1">
        <v>63</v>
      </c>
      <c r="D24" s="1">
        <v>66</v>
      </c>
      <c r="E24" s="1">
        <v>64</v>
      </c>
      <c r="F24" s="1">
        <v>62</v>
      </c>
      <c r="G24" s="1">
        <v>68</v>
      </c>
    </row>
    <row r="25" spans="1:21" x14ac:dyDescent="0.35">
      <c r="A25" s="1">
        <v>24</v>
      </c>
      <c r="B25" s="1" t="s">
        <v>48</v>
      </c>
      <c r="C25" s="1">
        <v>39</v>
      </c>
      <c r="D25" s="1">
        <v>42</v>
      </c>
      <c r="E25" s="1">
        <v>40</v>
      </c>
      <c r="F25" s="1">
        <v>38</v>
      </c>
      <c r="G25" s="1">
        <v>45</v>
      </c>
    </row>
    <row r="26" spans="1:21" x14ac:dyDescent="0.35">
      <c r="A26" s="1">
        <v>25</v>
      </c>
      <c r="B26" s="1" t="s">
        <v>49</v>
      </c>
      <c r="C26" s="1">
        <v>85</v>
      </c>
      <c r="D26" s="1">
        <v>88</v>
      </c>
      <c r="E26" s="1">
        <v>87</v>
      </c>
      <c r="F26" s="1">
        <v>84</v>
      </c>
      <c r="G26" s="1">
        <v>90</v>
      </c>
    </row>
    <row r="27" spans="1:21" x14ac:dyDescent="0.35">
      <c r="A27" s="1">
        <v>26</v>
      </c>
      <c r="B27" s="1" t="s">
        <v>50</v>
      </c>
      <c r="C27" s="1">
        <v>56</v>
      </c>
      <c r="D27" s="1">
        <v>59</v>
      </c>
      <c r="E27" s="1">
        <v>58</v>
      </c>
      <c r="F27" s="1">
        <v>55</v>
      </c>
      <c r="G27" s="1">
        <v>61</v>
      </c>
    </row>
    <row r="28" spans="1:21" x14ac:dyDescent="0.35">
      <c r="A28" s="1">
        <v>27</v>
      </c>
      <c r="B28" s="1" t="s">
        <v>51</v>
      </c>
      <c r="C28" s="1">
        <v>72</v>
      </c>
      <c r="D28" s="1">
        <v>75</v>
      </c>
      <c r="E28" s="1">
        <v>73</v>
      </c>
      <c r="F28" s="1">
        <v>71</v>
      </c>
      <c r="G28" s="1">
        <v>78</v>
      </c>
    </row>
    <row r="29" spans="1:21" x14ac:dyDescent="0.35">
      <c r="A29" s="1">
        <v>28</v>
      </c>
      <c r="B29" s="1" t="s">
        <v>52</v>
      </c>
      <c r="C29" s="1">
        <v>33</v>
      </c>
      <c r="D29" s="1">
        <v>36</v>
      </c>
      <c r="E29" s="1">
        <v>35</v>
      </c>
      <c r="F29" s="1">
        <v>34</v>
      </c>
      <c r="G29" s="1">
        <v>38</v>
      </c>
    </row>
    <row r="30" spans="1:21" x14ac:dyDescent="0.35">
      <c r="A30" s="1">
        <v>29</v>
      </c>
      <c r="B30" s="1" t="s">
        <v>53</v>
      </c>
      <c r="C30" s="1">
        <v>66</v>
      </c>
      <c r="D30" s="1">
        <v>69</v>
      </c>
      <c r="E30" s="1">
        <v>67</v>
      </c>
      <c r="F30" s="1">
        <v>65</v>
      </c>
      <c r="G30" s="1">
        <v>71</v>
      </c>
    </row>
    <row r="31" spans="1:21" x14ac:dyDescent="0.35">
      <c r="A31" s="1">
        <v>30</v>
      </c>
      <c r="B31" s="1" t="s">
        <v>54</v>
      </c>
      <c r="C31" s="1">
        <v>91</v>
      </c>
      <c r="D31" s="1">
        <v>94</v>
      </c>
      <c r="E31" s="1">
        <v>92</v>
      </c>
      <c r="F31" s="1">
        <v>90</v>
      </c>
      <c r="G31" s="1">
        <v>96</v>
      </c>
    </row>
    <row r="32" spans="1:21" x14ac:dyDescent="0.35">
      <c r="A32" s="1">
        <v>31</v>
      </c>
      <c r="B32" s="1" t="s">
        <v>55</v>
      </c>
      <c r="C32" s="1">
        <v>48</v>
      </c>
      <c r="D32" s="1">
        <v>50</v>
      </c>
      <c r="E32" s="1">
        <v>49</v>
      </c>
      <c r="F32" s="1">
        <v>47</v>
      </c>
      <c r="G32" s="1">
        <v>53</v>
      </c>
    </row>
    <row r="33" spans="1:7" x14ac:dyDescent="0.35">
      <c r="A33" s="1">
        <v>32</v>
      </c>
      <c r="B33" s="1" t="s">
        <v>56</v>
      </c>
      <c r="C33" s="1">
        <v>77</v>
      </c>
      <c r="D33" s="1">
        <v>80</v>
      </c>
      <c r="E33" s="1">
        <v>78</v>
      </c>
      <c r="F33" s="1">
        <v>76</v>
      </c>
      <c r="G33" s="1">
        <v>83</v>
      </c>
    </row>
    <row r="34" spans="1:7" x14ac:dyDescent="0.35">
      <c r="A34" s="1">
        <v>33</v>
      </c>
      <c r="B34" s="1" t="s">
        <v>57</v>
      </c>
      <c r="C34" s="1">
        <v>60</v>
      </c>
      <c r="D34" s="1">
        <v>63</v>
      </c>
      <c r="E34" s="1">
        <v>61</v>
      </c>
      <c r="F34" s="1">
        <v>59</v>
      </c>
      <c r="G34" s="1">
        <v>65</v>
      </c>
    </row>
    <row r="35" spans="1:7" x14ac:dyDescent="0.35">
      <c r="A35" s="1">
        <v>34</v>
      </c>
      <c r="B35" s="1" t="s">
        <v>58</v>
      </c>
      <c r="C35" s="1">
        <v>42</v>
      </c>
      <c r="D35" s="1">
        <v>45</v>
      </c>
      <c r="E35" s="1">
        <v>43</v>
      </c>
      <c r="F35" s="1">
        <v>41</v>
      </c>
      <c r="G35" s="1">
        <v>47</v>
      </c>
    </row>
    <row r="36" spans="1:7" x14ac:dyDescent="0.35">
      <c r="A36" s="1">
        <v>35</v>
      </c>
      <c r="B36" s="1" t="s">
        <v>59</v>
      </c>
      <c r="C36" s="1">
        <v>84</v>
      </c>
      <c r="D36" s="1">
        <v>87</v>
      </c>
      <c r="E36" s="1">
        <v>85</v>
      </c>
      <c r="F36" s="1">
        <v>82</v>
      </c>
      <c r="G36" s="1">
        <v>89</v>
      </c>
    </row>
    <row r="37" spans="1:7" x14ac:dyDescent="0.35">
      <c r="A37" s="1">
        <v>36</v>
      </c>
      <c r="B37" s="1" t="s">
        <v>60</v>
      </c>
      <c r="C37" s="1">
        <v>55</v>
      </c>
      <c r="D37" s="1">
        <v>58</v>
      </c>
      <c r="E37" s="1">
        <v>56</v>
      </c>
      <c r="F37" s="1">
        <v>54</v>
      </c>
      <c r="G37" s="1">
        <v>60</v>
      </c>
    </row>
    <row r="38" spans="1:7" x14ac:dyDescent="0.35">
      <c r="A38" s="1">
        <v>37</v>
      </c>
      <c r="B38" s="1" t="s">
        <v>61</v>
      </c>
      <c r="C38" s="1">
        <v>70</v>
      </c>
      <c r="D38" s="1">
        <v>73</v>
      </c>
      <c r="E38" s="1">
        <v>71</v>
      </c>
      <c r="F38" s="1">
        <v>69</v>
      </c>
      <c r="G38" s="1">
        <v>75</v>
      </c>
    </row>
    <row r="39" spans="1:7" x14ac:dyDescent="0.35">
      <c r="A39" s="1">
        <v>38</v>
      </c>
      <c r="B39" s="1" t="s">
        <v>62</v>
      </c>
      <c r="C39" s="1">
        <v>36</v>
      </c>
      <c r="D39" s="1">
        <v>39</v>
      </c>
      <c r="E39" s="1">
        <v>38</v>
      </c>
      <c r="F39" s="1">
        <v>37</v>
      </c>
      <c r="G39" s="1">
        <v>40</v>
      </c>
    </row>
    <row r="40" spans="1:7" x14ac:dyDescent="0.35">
      <c r="A40" s="1">
        <v>39</v>
      </c>
      <c r="B40" s="1" t="s">
        <v>63</v>
      </c>
      <c r="C40" s="1">
        <v>64</v>
      </c>
      <c r="D40" s="1">
        <v>67</v>
      </c>
      <c r="E40" s="1">
        <v>65</v>
      </c>
      <c r="F40" s="1">
        <v>63</v>
      </c>
      <c r="G40" s="1">
        <v>69</v>
      </c>
    </row>
    <row r="41" spans="1:7" x14ac:dyDescent="0.35">
      <c r="A41" s="1">
        <v>40</v>
      </c>
      <c r="B41" s="1" t="s">
        <v>64</v>
      </c>
      <c r="C41" s="1">
        <v>78</v>
      </c>
      <c r="D41" s="1">
        <v>81</v>
      </c>
      <c r="E41" s="1">
        <v>79</v>
      </c>
      <c r="F41" s="1">
        <v>77</v>
      </c>
      <c r="G41" s="1">
        <v>84</v>
      </c>
    </row>
    <row r="42" spans="1:7" x14ac:dyDescent="0.35">
      <c r="A42" s="1">
        <v>41</v>
      </c>
      <c r="B42" s="1" t="s">
        <v>65</v>
      </c>
      <c r="C42" s="1">
        <v>46</v>
      </c>
      <c r="D42" s="1">
        <v>49</v>
      </c>
      <c r="E42" s="1">
        <v>47</v>
      </c>
      <c r="F42" s="1">
        <v>45</v>
      </c>
      <c r="G42" s="1">
        <v>51</v>
      </c>
    </row>
    <row r="43" spans="1:7" x14ac:dyDescent="0.35">
      <c r="A43" s="1">
        <v>42</v>
      </c>
      <c r="B43" s="1" t="s">
        <v>66</v>
      </c>
      <c r="C43" s="1">
        <v>86</v>
      </c>
      <c r="D43" s="1">
        <v>89</v>
      </c>
      <c r="E43" s="1">
        <v>88</v>
      </c>
      <c r="F43" s="1">
        <v>85</v>
      </c>
      <c r="G43" s="1">
        <v>91</v>
      </c>
    </row>
    <row r="44" spans="1:7" x14ac:dyDescent="0.35">
      <c r="A44" s="1">
        <v>43</v>
      </c>
      <c r="B44" s="1" t="s">
        <v>67</v>
      </c>
      <c r="C44" s="1">
        <v>57</v>
      </c>
      <c r="D44" s="1">
        <v>60</v>
      </c>
      <c r="E44" s="1">
        <v>58</v>
      </c>
      <c r="F44" s="1">
        <v>56</v>
      </c>
      <c r="G44" s="1">
        <v>62</v>
      </c>
    </row>
    <row r="45" spans="1:7" x14ac:dyDescent="0.35">
      <c r="A45" s="1">
        <v>44</v>
      </c>
      <c r="B45" s="1" t="s">
        <v>68</v>
      </c>
      <c r="C45" s="1">
        <v>40</v>
      </c>
      <c r="D45" s="1">
        <v>43</v>
      </c>
      <c r="E45" s="1">
        <v>41</v>
      </c>
      <c r="F45" s="1">
        <v>39</v>
      </c>
      <c r="G45" s="1">
        <v>45</v>
      </c>
    </row>
    <row r="46" spans="1:7" x14ac:dyDescent="0.35">
      <c r="A46" s="1">
        <v>45</v>
      </c>
      <c r="B46" s="1" t="s">
        <v>69</v>
      </c>
      <c r="C46" s="1">
        <v>83</v>
      </c>
      <c r="D46" s="1">
        <v>86</v>
      </c>
      <c r="E46" s="1">
        <v>84</v>
      </c>
      <c r="F46" s="1">
        <v>82</v>
      </c>
      <c r="G46" s="1">
        <v>88</v>
      </c>
    </row>
    <row r="47" spans="1:7" x14ac:dyDescent="0.35">
      <c r="A47" s="1">
        <v>46</v>
      </c>
      <c r="B47" s="1" t="s">
        <v>70</v>
      </c>
      <c r="C47" s="1">
        <v>69</v>
      </c>
      <c r="D47" s="1">
        <v>72</v>
      </c>
      <c r="E47" s="1">
        <v>70</v>
      </c>
      <c r="F47" s="1">
        <v>68</v>
      </c>
      <c r="G47" s="1">
        <v>74</v>
      </c>
    </row>
    <row r="48" spans="1:7" x14ac:dyDescent="0.35">
      <c r="A48" s="1">
        <v>47</v>
      </c>
      <c r="B48" s="1" t="s">
        <v>71</v>
      </c>
      <c r="C48" s="1">
        <v>52</v>
      </c>
      <c r="D48" s="1">
        <v>55</v>
      </c>
      <c r="E48" s="1">
        <v>53</v>
      </c>
      <c r="F48" s="1">
        <v>51</v>
      </c>
      <c r="G48" s="1">
        <v>57</v>
      </c>
    </row>
    <row r="49" spans="1:7" x14ac:dyDescent="0.35">
      <c r="A49" s="1">
        <v>48</v>
      </c>
      <c r="B49" s="1" t="s">
        <v>72</v>
      </c>
      <c r="C49" s="1">
        <v>90</v>
      </c>
      <c r="D49" s="1">
        <v>93</v>
      </c>
      <c r="E49" s="1">
        <v>91</v>
      </c>
      <c r="F49" s="1">
        <v>89</v>
      </c>
      <c r="G49" s="1">
        <v>95</v>
      </c>
    </row>
    <row r="50" spans="1:7" x14ac:dyDescent="0.35">
      <c r="A50" s="1">
        <v>49</v>
      </c>
      <c r="B50" s="1" t="s">
        <v>73</v>
      </c>
      <c r="C50" s="1">
        <v>61</v>
      </c>
      <c r="D50" s="1">
        <v>64</v>
      </c>
      <c r="E50" s="1">
        <v>62</v>
      </c>
      <c r="F50" s="1">
        <v>60</v>
      </c>
      <c r="G50" s="1">
        <v>66</v>
      </c>
    </row>
    <row r="51" spans="1:7" x14ac:dyDescent="0.35">
      <c r="A51" s="1">
        <v>50</v>
      </c>
      <c r="B51" s="1" t="s">
        <v>74</v>
      </c>
      <c r="C51" s="1">
        <v>75</v>
      </c>
      <c r="D51" s="1">
        <v>78</v>
      </c>
      <c r="E51" s="1">
        <v>76</v>
      </c>
      <c r="F51" s="1">
        <v>74</v>
      </c>
      <c r="G51" s="1">
        <v>81</v>
      </c>
    </row>
  </sheetData>
  <mergeCells count="4">
    <mergeCell ref="J3:L4"/>
    <mergeCell ref="J9:M10"/>
    <mergeCell ref="J14:M16"/>
    <mergeCell ref="J1:Q2"/>
  </mergeCells>
  <dataValidations count="2">
    <dataValidation type="list" allowBlank="1" showInputMessage="1" showErrorMessage="1" sqref="J5 J12 J17" xr:uid="{C282F74F-7CC4-43C4-99A5-3CF24A10A45F}">
      <formula1>$C$1:$G$1</formula1>
    </dataValidation>
    <dataValidation type="list" allowBlank="1" showInputMessage="1" showErrorMessage="1" sqref="I18" xr:uid="{D2BE0E62-F5F5-4CC5-B532-4C20019789A3}">
      <formula1>$B$2:$B$51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0C62-FAFB-4383-9685-9919E53F28A6}">
  <dimension ref="A1:Q53"/>
  <sheetViews>
    <sheetView topLeftCell="B16" workbookViewId="0">
      <selection activeCell="I35" sqref="I35:I36"/>
    </sheetView>
  </sheetViews>
  <sheetFormatPr defaultRowHeight="14.5" x14ac:dyDescent="0.35"/>
  <cols>
    <col min="1" max="1" width="6.7265625" bestFit="1" customWidth="1"/>
    <col min="2" max="2" width="17.08984375" bestFit="1" customWidth="1"/>
    <col min="3" max="3" width="6.6328125" bestFit="1" customWidth="1"/>
    <col min="4" max="4" width="6.08984375" bestFit="1" customWidth="1"/>
    <col min="5" max="5" width="6.90625" bestFit="1" customWidth="1"/>
    <col min="6" max="6" width="5.54296875" bestFit="1" customWidth="1"/>
    <col min="7" max="7" width="9.1796875" bestFit="1" customWidth="1"/>
    <col min="9" max="9" width="14.81640625" bestFit="1" customWidth="1"/>
    <col min="10" max="10" width="6.6328125" bestFit="1" customWidth="1"/>
    <col min="14" max="14" width="9.26953125" bestFit="1" customWidth="1"/>
    <col min="15" max="15" width="6.90625" bestFit="1" customWidth="1"/>
  </cols>
  <sheetData>
    <row r="1" spans="1:17" ht="15" thickBot="1" x14ac:dyDescent="0.4"/>
    <row r="2" spans="1:17" x14ac:dyDescent="0.35">
      <c r="I2" s="65" t="s">
        <v>93</v>
      </c>
      <c r="J2" s="66"/>
      <c r="K2" s="66"/>
      <c r="L2" s="66"/>
      <c r="M2" s="66"/>
      <c r="N2" s="66"/>
      <c r="O2" s="66"/>
      <c r="P2" s="66"/>
      <c r="Q2" s="67"/>
    </row>
    <row r="3" spans="1:17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I3" s="68"/>
      <c r="J3" s="69"/>
      <c r="K3" s="69"/>
      <c r="L3" s="69"/>
      <c r="M3" s="69"/>
      <c r="N3" s="69"/>
      <c r="O3" s="69"/>
      <c r="P3" s="69"/>
      <c r="Q3" s="70"/>
    </row>
    <row r="4" spans="1:17" ht="15" thickBot="1" x14ac:dyDescent="0.4">
      <c r="A4" s="1">
        <v>1</v>
      </c>
      <c r="B4" s="1" t="s">
        <v>12</v>
      </c>
      <c r="C4" s="1">
        <v>68</v>
      </c>
      <c r="D4" s="1">
        <v>72</v>
      </c>
      <c r="E4" s="1">
        <v>70</v>
      </c>
      <c r="F4" s="1">
        <v>66</v>
      </c>
      <c r="G4" s="1">
        <v>75</v>
      </c>
      <c r="I4" s="71"/>
      <c r="J4" s="72"/>
      <c r="K4" s="72"/>
      <c r="L4" s="72"/>
      <c r="M4" s="72"/>
      <c r="N4" s="72"/>
      <c r="O4" s="72"/>
      <c r="P4" s="72"/>
      <c r="Q4" s="73"/>
    </row>
    <row r="5" spans="1:17" ht="14.5" customHeight="1" x14ac:dyDescent="0.35">
      <c r="A5" s="1">
        <v>2</v>
      </c>
      <c r="B5" s="1" t="s">
        <v>15</v>
      </c>
      <c r="C5" s="1">
        <v>74</v>
      </c>
      <c r="D5" s="1">
        <v>81</v>
      </c>
      <c r="E5" s="1">
        <v>78</v>
      </c>
      <c r="F5" s="1">
        <v>76</v>
      </c>
      <c r="G5" s="1">
        <v>82</v>
      </c>
      <c r="I5" s="53" t="s">
        <v>86</v>
      </c>
      <c r="J5" s="54"/>
      <c r="K5" s="55"/>
      <c r="L5" s="17"/>
      <c r="M5" s="7"/>
      <c r="N5" s="7"/>
      <c r="O5" s="7"/>
      <c r="P5" s="7"/>
      <c r="Q5" s="8"/>
    </row>
    <row r="6" spans="1:17" ht="14.5" customHeight="1" thickBot="1" x14ac:dyDescent="0.4">
      <c r="A6" s="1">
        <v>3</v>
      </c>
      <c r="B6" s="1" t="s">
        <v>17</v>
      </c>
      <c r="C6" s="1">
        <v>45</v>
      </c>
      <c r="D6" s="1">
        <v>52</v>
      </c>
      <c r="E6" s="1">
        <v>48</v>
      </c>
      <c r="F6" s="1">
        <v>50</v>
      </c>
      <c r="G6" s="1">
        <v>55</v>
      </c>
      <c r="I6" s="56"/>
      <c r="J6" s="57"/>
      <c r="K6" s="58"/>
      <c r="L6" s="14"/>
      <c r="M6" s="1"/>
      <c r="N6" s="1"/>
      <c r="O6" s="1"/>
      <c r="P6" s="1"/>
      <c r="Q6" s="9"/>
    </row>
    <row r="7" spans="1:17" x14ac:dyDescent="0.35">
      <c r="A7" s="1">
        <v>4</v>
      </c>
      <c r="B7" s="1" t="s">
        <v>20</v>
      </c>
      <c r="C7" s="1">
        <v>82</v>
      </c>
      <c r="D7" s="1">
        <v>88</v>
      </c>
      <c r="E7" s="1">
        <v>85</v>
      </c>
      <c r="F7" s="1">
        <v>80</v>
      </c>
      <c r="G7" s="1">
        <v>90</v>
      </c>
      <c r="I7" s="16" t="str">
        <f>INDEX(B3:G10,1,2)</f>
        <v>English</v>
      </c>
      <c r="J7" s="6"/>
      <c r="K7" s="6"/>
      <c r="L7" s="1"/>
      <c r="M7" s="1"/>
      <c r="N7" s="1"/>
      <c r="O7" s="1"/>
      <c r="P7" s="1"/>
      <c r="Q7" s="9"/>
    </row>
    <row r="8" spans="1:17" x14ac:dyDescent="0.35">
      <c r="A8" s="1">
        <v>5</v>
      </c>
      <c r="B8" s="1" t="s">
        <v>22</v>
      </c>
      <c r="C8" s="1">
        <v>34</v>
      </c>
      <c r="D8" s="1">
        <v>42</v>
      </c>
      <c r="E8" s="1">
        <v>38</v>
      </c>
      <c r="F8" s="1">
        <v>40</v>
      </c>
      <c r="G8" s="1">
        <v>45</v>
      </c>
      <c r="I8" s="10">
        <f>INDEX(B3:G15,5,4)</f>
        <v>85</v>
      </c>
      <c r="J8" s="1"/>
      <c r="K8" s="1"/>
      <c r="L8" s="1"/>
      <c r="M8" s="1"/>
      <c r="N8" s="1"/>
      <c r="O8" s="1"/>
      <c r="P8" s="1"/>
      <c r="Q8" s="9"/>
    </row>
    <row r="9" spans="1:17" ht="15" thickBot="1" x14ac:dyDescent="0.4">
      <c r="A9" s="1">
        <v>6</v>
      </c>
      <c r="B9" s="1" t="s">
        <v>25</v>
      </c>
      <c r="C9" s="1">
        <v>71</v>
      </c>
      <c r="D9" s="1">
        <v>69</v>
      </c>
      <c r="E9" s="1">
        <v>73</v>
      </c>
      <c r="F9" s="1">
        <v>70</v>
      </c>
      <c r="G9" s="1">
        <v>76</v>
      </c>
      <c r="I9" s="15"/>
      <c r="J9" s="5"/>
      <c r="K9" s="5"/>
      <c r="L9" s="1"/>
      <c r="M9" s="1"/>
      <c r="N9" s="1"/>
      <c r="O9" s="1"/>
      <c r="P9" s="1"/>
      <c r="Q9" s="9"/>
    </row>
    <row r="10" spans="1:17" x14ac:dyDescent="0.35">
      <c r="A10" s="1">
        <v>7</v>
      </c>
      <c r="B10" s="1" t="s">
        <v>28</v>
      </c>
      <c r="C10" s="1">
        <v>58</v>
      </c>
      <c r="D10" s="1">
        <v>61</v>
      </c>
      <c r="E10" s="1">
        <v>60</v>
      </c>
      <c r="F10" s="1">
        <v>57</v>
      </c>
      <c r="G10" s="1">
        <v>62</v>
      </c>
      <c r="I10" s="53" t="s">
        <v>87</v>
      </c>
      <c r="J10" s="54"/>
      <c r="K10" s="55"/>
      <c r="L10" s="14"/>
      <c r="M10" s="1"/>
      <c r="N10" s="1"/>
      <c r="O10" s="1"/>
      <c r="P10" s="1"/>
      <c r="Q10" s="9"/>
    </row>
    <row r="11" spans="1:17" ht="15" thickBot="1" x14ac:dyDescent="0.4">
      <c r="A11" s="1">
        <v>8</v>
      </c>
      <c r="B11" s="1" t="s">
        <v>31</v>
      </c>
      <c r="C11" s="1">
        <v>89</v>
      </c>
      <c r="D11" s="1">
        <v>92</v>
      </c>
      <c r="E11" s="1">
        <v>90</v>
      </c>
      <c r="F11" s="1">
        <v>88</v>
      </c>
      <c r="G11" s="1">
        <v>94</v>
      </c>
      <c r="I11" s="56"/>
      <c r="J11" s="57"/>
      <c r="K11" s="58"/>
      <c r="L11" s="14"/>
      <c r="M11" s="1"/>
      <c r="N11" s="1"/>
      <c r="O11" s="1"/>
      <c r="P11" s="1"/>
      <c r="Q11" s="9"/>
    </row>
    <row r="12" spans="1:17" x14ac:dyDescent="0.35">
      <c r="A12" s="1">
        <v>9</v>
      </c>
      <c r="B12" s="1" t="s">
        <v>33</v>
      </c>
      <c r="C12" s="1">
        <v>41</v>
      </c>
      <c r="D12" s="1">
        <v>45</v>
      </c>
      <c r="E12" s="1">
        <v>43</v>
      </c>
      <c r="F12" s="1">
        <v>44</v>
      </c>
      <c r="G12" s="1">
        <v>46</v>
      </c>
      <c r="I12" s="16"/>
      <c r="J12" s="6" t="s">
        <v>3</v>
      </c>
      <c r="K12" s="6"/>
      <c r="L12" s="1"/>
      <c r="M12" s="1"/>
      <c r="N12" s="1"/>
      <c r="O12" s="1"/>
      <c r="P12" s="1"/>
      <c r="Q12" s="9"/>
    </row>
    <row r="13" spans="1:17" x14ac:dyDescent="0.35">
      <c r="A13" s="1">
        <v>10</v>
      </c>
      <c r="B13" s="1" t="s">
        <v>34</v>
      </c>
      <c r="C13" s="1">
        <v>67</v>
      </c>
      <c r="D13" s="1">
        <v>70</v>
      </c>
      <c r="E13" s="1">
        <v>68</v>
      </c>
      <c r="F13" s="1">
        <v>65</v>
      </c>
      <c r="G13" s="1">
        <v>72</v>
      </c>
      <c r="I13" s="10" t="s">
        <v>25</v>
      </c>
      <c r="J13" s="1">
        <f>INDEX(B3:G53,MATCH(I13,B3:B53,0),MATCH(J12,B3:G3,0))</f>
        <v>71</v>
      </c>
      <c r="K13" s="1"/>
      <c r="L13" s="1"/>
      <c r="M13" s="1"/>
      <c r="N13" s="1"/>
      <c r="O13" s="1"/>
      <c r="P13" s="1"/>
      <c r="Q13" s="9"/>
    </row>
    <row r="14" spans="1:17" ht="15" thickBot="1" x14ac:dyDescent="0.4">
      <c r="A14" s="1">
        <v>11</v>
      </c>
      <c r="B14" s="1" t="s">
        <v>35</v>
      </c>
      <c r="C14" s="1">
        <v>76</v>
      </c>
      <c r="D14" s="1">
        <v>80</v>
      </c>
      <c r="E14" s="1">
        <v>78</v>
      </c>
      <c r="F14" s="1">
        <v>75</v>
      </c>
      <c r="G14" s="1">
        <v>82</v>
      </c>
      <c r="I14" s="15"/>
      <c r="J14" s="5"/>
      <c r="K14" s="5"/>
      <c r="L14" s="5"/>
      <c r="M14" s="1"/>
      <c r="N14" s="1"/>
      <c r="O14" s="1"/>
      <c r="P14" s="1"/>
      <c r="Q14" s="9"/>
    </row>
    <row r="15" spans="1:17" x14ac:dyDescent="0.35">
      <c r="A15" s="1">
        <v>12</v>
      </c>
      <c r="B15" s="1" t="s">
        <v>36</v>
      </c>
      <c r="C15" s="1">
        <v>54</v>
      </c>
      <c r="D15" s="1">
        <v>58</v>
      </c>
      <c r="E15" s="1">
        <v>56</v>
      </c>
      <c r="F15" s="1">
        <v>55</v>
      </c>
      <c r="G15" s="1">
        <v>60</v>
      </c>
      <c r="I15" s="53" t="s">
        <v>88</v>
      </c>
      <c r="J15" s="54"/>
      <c r="K15" s="54"/>
      <c r="L15" s="55"/>
      <c r="M15" s="14"/>
      <c r="N15" s="1"/>
      <c r="O15" s="1"/>
      <c r="P15" s="1"/>
      <c r="Q15" s="9"/>
    </row>
    <row r="16" spans="1:17" ht="15" thickBot="1" x14ac:dyDescent="0.4">
      <c r="A16" s="1">
        <v>13</v>
      </c>
      <c r="B16" s="1" t="s">
        <v>37</v>
      </c>
      <c r="C16" s="1">
        <v>62</v>
      </c>
      <c r="D16" s="1">
        <v>65</v>
      </c>
      <c r="E16" s="1">
        <v>63</v>
      </c>
      <c r="F16" s="1">
        <v>61</v>
      </c>
      <c r="G16" s="1">
        <v>67</v>
      </c>
      <c r="I16" s="56"/>
      <c r="J16" s="57"/>
      <c r="K16" s="57"/>
      <c r="L16" s="58"/>
      <c r="M16" s="20"/>
      <c r="N16" s="5"/>
      <c r="O16" s="5"/>
      <c r="P16" s="5"/>
      <c r="Q16" s="21"/>
    </row>
    <row r="17" spans="1:17" x14ac:dyDescent="0.35">
      <c r="A17" s="1">
        <v>14</v>
      </c>
      <c r="B17" s="1" t="s">
        <v>38</v>
      </c>
      <c r="C17" s="1">
        <v>47</v>
      </c>
      <c r="D17" s="1">
        <v>50</v>
      </c>
      <c r="E17" s="1">
        <v>48</v>
      </c>
      <c r="F17" s="1">
        <v>46</v>
      </c>
      <c r="G17" s="1">
        <v>52</v>
      </c>
      <c r="I17" s="16" t="s">
        <v>34</v>
      </c>
      <c r="J17" s="6">
        <f>_xlfn.XLOOKUP(I17,B3:B53,A3:A53)</f>
        <v>10</v>
      </c>
      <c r="K17" s="6"/>
      <c r="L17" s="18"/>
      <c r="M17" s="59" t="s">
        <v>90</v>
      </c>
      <c r="N17" s="60"/>
      <c r="O17" s="60"/>
      <c r="P17" s="60"/>
      <c r="Q17" s="61"/>
    </row>
    <row r="18" spans="1:17" ht="15" thickBot="1" x14ac:dyDescent="0.4">
      <c r="A18" s="1">
        <v>15</v>
      </c>
      <c r="B18" s="1" t="s">
        <v>39</v>
      </c>
      <c r="C18" s="1">
        <v>35</v>
      </c>
      <c r="D18" s="1">
        <v>38</v>
      </c>
      <c r="E18" s="1">
        <v>40</v>
      </c>
      <c r="F18" s="1">
        <v>37</v>
      </c>
      <c r="G18" s="1">
        <v>42</v>
      </c>
      <c r="I18" s="15"/>
      <c r="J18" s="5"/>
      <c r="K18" s="5"/>
      <c r="L18" s="19"/>
      <c r="M18" s="62"/>
      <c r="N18" s="63"/>
      <c r="O18" s="63"/>
      <c r="P18" s="63"/>
      <c r="Q18" s="64"/>
    </row>
    <row r="19" spans="1:17" x14ac:dyDescent="0.35">
      <c r="A19" s="1">
        <v>16</v>
      </c>
      <c r="B19" s="1" t="s">
        <v>40</v>
      </c>
      <c r="C19" s="1">
        <v>81</v>
      </c>
      <c r="D19" s="1">
        <v>84</v>
      </c>
      <c r="E19" s="1">
        <v>83</v>
      </c>
      <c r="F19" s="1">
        <v>80</v>
      </c>
      <c r="G19" s="1">
        <v>86</v>
      </c>
      <c r="I19" s="53" t="s">
        <v>89</v>
      </c>
      <c r="J19" s="54"/>
      <c r="K19" s="54"/>
      <c r="L19" s="55"/>
      <c r="M19" s="22"/>
      <c r="N19" s="6"/>
      <c r="O19" s="6" t="s">
        <v>5</v>
      </c>
      <c r="P19" s="6"/>
      <c r="Q19" s="23"/>
    </row>
    <row r="20" spans="1:17" ht="15" thickBot="1" x14ac:dyDescent="0.4">
      <c r="A20" s="1">
        <v>17</v>
      </c>
      <c r="B20" s="1" t="s">
        <v>41</v>
      </c>
      <c r="C20" s="1">
        <v>59</v>
      </c>
      <c r="D20" s="1">
        <v>62</v>
      </c>
      <c r="E20" s="1">
        <v>60</v>
      </c>
      <c r="F20" s="1">
        <v>58</v>
      </c>
      <c r="G20" s="1">
        <v>64</v>
      </c>
      <c r="I20" s="56"/>
      <c r="J20" s="57"/>
      <c r="K20" s="57"/>
      <c r="L20" s="58"/>
      <c r="M20" s="14"/>
      <c r="N20" s="1" t="s">
        <v>31</v>
      </c>
      <c r="O20" s="1" cm="1">
        <f t="array" ref="O20">_xlfn.XLOOKUP(N20,B4:B53,_xlfn.XLOOKUP(O19,C3:G3,C4:G53))</f>
        <v>90</v>
      </c>
      <c r="P20" s="1"/>
      <c r="Q20" s="9"/>
    </row>
    <row r="21" spans="1:17" x14ac:dyDescent="0.35">
      <c r="A21" s="1">
        <v>18</v>
      </c>
      <c r="B21" s="1" t="s">
        <v>42</v>
      </c>
      <c r="C21" s="1">
        <v>73</v>
      </c>
      <c r="D21" s="1">
        <v>77</v>
      </c>
      <c r="E21" s="1">
        <v>75</v>
      </c>
      <c r="F21" s="1">
        <v>72</v>
      </c>
      <c r="G21" s="1">
        <v>79</v>
      </c>
      <c r="I21" s="16" t="s">
        <v>22</v>
      </c>
      <c r="J21" s="6" cm="1">
        <f t="array" ref="J21:J31">_xlfn.XLOOKUP(I21:I31,B4:B53,E4:E53)</f>
        <v>38</v>
      </c>
      <c r="K21" s="6"/>
      <c r="L21" s="6"/>
      <c r="M21" s="1"/>
      <c r="N21" s="1"/>
      <c r="O21" s="1"/>
      <c r="P21" s="1"/>
      <c r="Q21" s="9"/>
    </row>
    <row r="22" spans="1:17" x14ac:dyDescent="0.35">
      <c r="A22" s="1">
        <v>19</v>
      </c>
      <c r="B22" s="1" t="s">
        <v>43</v>
      </c>
      <c r="C22" s="1">
        <v>44</v>
      </c>
      <c r="D22" s="1">
        <v>48</v>
      </c>
      <c r="E22" s="1">
        <v>45</v>
      </c>
      <c r="F22" s="1">
        <v>46</v>
      </c>
      <c r="G22" s="1">
        <v>50</v>
      </c>
      <c r="I22" s="10" t="s">
        <v>25</v>
      </c>
      <c r="J22" s="1">
        <v>73</v>
      </c>
      <c r="K22" s="1"/>
      <c r="L22" s="1"/>
      <c r="M22" s="74" t="s">
        <v>94</v>
      </c>
      <c r="N22" s="75"/>
      <c r="O22" s="75"/>
      <c r="P22" s="75"/>
      <c r="Q22" s="76"/>
    </row>
    <row r="23" spans="1:17" x14ac:dyDescent="0.35">
      <c r="A23" s="1">
        <v>20</v>
      </c>
      <c r="B23" s="1" t="s">
        <v>44</v>
      </c>
      <c r="C23" s="1">
        <v>88</v>
      </c>
      <c r="D23" s="1">
        <v>90</v>
      </c>
      <c r="E23" s="1">
        <v>89</v>
      </c>
      <c r="F23" s="1">
        <v>87</v>
      </c>
      <c r="G23" s="1">
        <v>92</v>
      </c>
      <c r="I23" s="10" t="s">
        <v>28</v>
      </c>
      <c r="J23" s="1">
        <v>60</v>
      </c>
      <c r="K23" s="1"/>
      <c r="L23" s="1"/>
      <c r="M23" s="77"/>
      <c r="N23" s="78"/>
      <c r="O23" s="78"/>
      <c r="P23" s="78"/>
      <c r="Q23" s="79"/>
    </row>
    <row r="24" spans="1:17" x14ac:dyDescent="0.35">
      <c r="A24" s="1">
        <v>21</v>
      </c>
      <c r="B24" s="1" t="s">
        <v>45</v>
      </c>
      <c r="C24" s="1">
        <v>51</v>
      </c>
      <c r="D24" s="1">
        <v>54</v>
      </c>
      <c r="E24" s="1">
        <v>52</v>
      </c>
      <c r="F24" s="1">
        <v>50</v>
      </c>
      <c r="G24" s="1">
        <v>56</v>
      </c>
      <c r="I24" s="10" t="s">
        <v>31</v>
      </c>
      <c r="J24" s="1">
        <v>90</v>
      </c>
      <c r="K24" s="1"/>
      <c r="L24" s="1"/>
      <c r="M24" s="1"/>
      <c r="N24" s="1"/>
      <c r="O24" s="1"/>
      <c r="P24" s="1"/>
      <c r="Q24" s="9"/>
    </row>
    <row r="25" spans="1:17" x14ac:dyDescent="0.35">
      <c r="A25" s="1">
        <v>22</v>
      </c>
      <c r="B25" s="1" t="s">
        <v>46</v>
      </c>
      <c r="C25" s="1">
        <v>79</v>
      </c>
      <c r="D25" s="1">
        <v>82</v>
      </c>
      <c r="E25" s="1">
        <v>80</v>
      </c>
      <c r="F25" s="1">
        <v>78</v>
      </c>
      <c r="G25" s="1">
        <v>85</v>
      </c>
      <c r="I25" s="10" t="s">
        <v>33</v>
      </c>
      <c r="J25" s="1">
        <v>43</v>
      </c>
      <c r="K25" s="1"/>
      <c r="L25" s="1"/>
      <c r="M25" s="1"/>
      <c r="N25" s="1"/>
      <c r="O25" s="1"/>
      <c r="P25" s="1"/>
      <c r="Q25" s="9"/>
    </row>
    <row r="26" spans="1:17" x14ac:dyDescent="0.35">
      <c r="A26" s="1">
        <v>23</v>
      </c>
      <c r="B26" s="1" t="s">
        <v>47</v>
      </c>
      <c r="C26" s="1">
        <v>63</v>
      </c>
      <c r="D26" s="1">
        <v>66</v>
      </c>
      <c r="E26" s="1">
        <v>64</v>
      </c>
      <c r="F26" s="1">
        <v>62</v>
      </c>
      <c r="G26" s="1">
        <v>68</v>
      </c>
      <c r="I26" s="10" t="s">
        <v>34</v>
      </c>
      <c r="J26" s="1">
        <v>68</v>
      </c>
      <c r="K26" s="1"/>
      <c r="L26" s="1"/>
      <c r="M26" s="1"/>
      <c r="N26" s="1"/>
      <c r="O26" s="1"/>
      <c r="P26" s="1"/>
      <c r="Q26" s="9"/>
    </row>
    <row r="27" spans="1:17" x14ac:dyDescent="0.35">
      <c r="A27" s="1">
        <v>24</v>
      </c>
      <c r="B27" s="1" t="s">
        <v>48</v>
      </c>
      <c r="C27" s="1">
        <v>39</v>
      </c>
      <c r="D27" s="1">
        <v>42</v>
      </c>
      <c r="E27" s="1">
        <v>40</v>
      </c>
      <c r="F27" s="1">
        <v>38</v>
      </c>
      <c r="G27" s="1">
        <v>45</v>
      </c>
      <c r="I27" s="10" t="s">
        <v>35</v>
      </c>
      <c r="J27" s="1">
        <v>78</v>
      </c>
      <c r="K27" s="1"/>
      <c r="L27" s="1"/>
      <c r="M27" s="1"/>
      <c r="N27" s="1"/>
      <c r="O27" s="1"/>
      <c r="P27" s="1"/>
      <c r="Q27" s="9"/>
    </row>
    <row r="28" spans="1:17" x14ac:dyDescent="0.35">
      <c r="A28" s="1">
        <v>25</v>
      </c>
      <c r="B28" s="1" t="s">
        <v>49</v>
      </c>
      <c r="C28" s="1">
        <v>85</v>
      </c>
      <c r="D28" s="1">
        <v>88</v>
      </c>
      <c r="E28" s="1">
        <v>87</v>
      </c>
      <c r="F28" s="1">
        <v>84</v>
      </c>
      <c r="G28" s="1">
        <v>90</v>
      </c>
      <c r="I28" s="10" t="s">
        <v>36</v>
      </c>
      <c r="J28" s="1">
        <v>56</v>
      </c>
      <c r="K28" s="1"/>
      <c r="L28" s="1"/>
      <c r="M28" s="1"/>
      <c r="N28" s="1"/>
      <c r="O28" s="1"/>
      <c r="P28" s="1"/>
      <c r="Q28" s="9"/>
    </row>
    <row r="29" spans="1:17" x14ac:dyDescent="0.35">
      <c r="A29" s="1">
        <v>26</v>
      </c>
      <c r="B29" s="1" t="s">
        <v>50</v>
      </c>
      <c r="C29" s="1">
        <v>56</v>
      </c>
      <c r="D29" s="1">
        <v>59</v>
      </c>
      <c r="E29" s="1">
        <v>58</v>
      </c>
      <c r="F29" s="1">
        <v>55</v>
      </c>
      <c r="G29" s="1">
        <v>61</v>
      </c>
      <c r="I29" s="10" t="s">
        <v>37</v>
      </c>
      <c r="J29" s="1">
        <v>63</v>
      </c>
      <c r="K29" s="1"/>
      <c r="L29" s="1"/>
      <c r="M29" s="1"/>
      <c r="N29" s="1"/>
      <c r="O29" s="1"/>
      <c r="P29" s="1"/>
      <c r="Q29" s="9"/>
    </row>
    <row r="30" spans="1:17" x14ac:dyDescent="0.35">
      <c r="A30" s="1">
        <v>27</v>
      </c>
      <c r="B30" s="1" t="s">
        <v>51</v>
      </c>
      <c r="C30" s="1">
        <v>72</v>
      </c>
      <c r="D30" s="1">
        <v>75</v>
      </c>
      <c r="E30" s="1">
        <v>73</v>
      </c>
      <c r="F30" s="1">
        <v>71</v>
      </c>
      <c r="G30" s="1">
        <v>78</v>
      </c>
      <c r="I30" s="10" t="s">
        <v>38</v>
      </c>
      <c r="J30" s="1">
        <v>48</v>
      </c>
      <c r="K30" s="1"/>
      <c r="L30" s="1"/>
      <c r="M30" s="1"/>
      <c r="N30" s="1"/>
      <c r="O30" s="1"/>
      <c r="P30" s="1"/>
      <c r="Q30" s="9"/>
    </row>
    <row r="31" spans="1:17" x14ac:dyDescent="0.35">
      <c r="A31" s="1">
        <v>28</v>
      </c>
      <c r="B31" s="1" t="s">
        <v>52</v>
      </c>
      <c r="C31" s="1">
        <v>33</v>
      </c>
      <c r="D31" s="1">
        <v>36</v>
      </c>
      <c r="E31" s="1">
        <v>35</v>
      </c>
      <c r="F31" s="1">
        <v>34</v>
      </c>
      <c r="G31" s="1">
        <v>38</v>
      </c>
      <c r="I31" s="10" t="s">
        <v>39</v>
      </c>
      <c r="J31" s="1">
        <v>40</v>
      </c>
      <c r="K31" s="1"/>
      <c r="L31" s="1"/>
      <c r="M31" s="1"/>
      <c r="N31" s="1"/>
      <c r="O31" s="1"/>
      <c r="P31" s="1"/>
      <c r="Q31" s="9"/>
    </row>
    <row r="32" spans="1:17" x14ac:dyDescent="0.35">
      <c r="A32" s="1">
        <v>29</v>
      </c>
      <c r="B32" s="1" t="s">
        <v>53</v>
      </c>
      <c r="C32" s="1">
        <v>66</v>
      </c>
      <c r="D32" s="1">
        <v>69</v>
      </c>
      <c r="E32" s="1">
        <v>67</v>
      </c>
      <c r="F32" s="1">
        <v>65</v>
      </c>
      <c r="G32" s="1">
        <v>71</v>
      </c>
      <c r="I32" s="10"/>
      <c r="J32" s="1"/>
      <c r="K32" s="1"/>
      <c r="L32" s="1"/>
      <c r="M32" s="1"/>
      <c r="N32" s="1"/>
      <c r="O32" s="1"/>
      <c r="P32" s="1"/>
      <c r="Q32" s="9"/>
    </row>
    <row r="33" spans="1:17" ht="15" thickBot="1" x14ac:dyDescent="0.4">
      <c r="A33" s="1">
        <v>30</v>
      </c>
      <c r="B33" s="1" t="s">
        <v>54</v>
      </c>
      <c r="C33" s="1">
        <v>91</v>
      </c>
      <c r="D33" s="1">
        <v>94</v>
      </c>
      <c r="E33" s="1">
        <v>92</v>
      </c>
      <c r="F33" s="1">
        <v>90</v>
      </c>
      <c r="G33" s="1">
        <v>96</v>
      </c>
      <c r="I33" s="11"/>
      <c r="J33" s="12"/>
      <c r="K33" s="12"/>
      <c r="L33" s="12"/>
      <c r="M33" s="12"/>
      <c r="N33" s="12"/>
      <c r="O33" s="12"/>
      <c r="P33" s="12"/>
      <c r="Q33" s="13"/>
    </row>
    <row r="34" spans="1:17" x14ac:dyDescent="0.35">
      <c r="A34" s="1">
        <v>31</v>
      </c>
      <c r="B34" s="1" t="s">
        <v>55</v>
      </c>
      <c r="C34" s="1">
        <v>48</v>
      </c>
      <c r="D34" s="1">
        <v>50</v>
      </c>
      <c r="E34" s="1">
        <v>49</v>
      </c>
      <c r="F34" s="1">
        <v>47</v>
      </c>
      <c r="G34" s="1">
        <v>53</v>
      </c>
    </row>
    <row r="35" spans="1:17" x14ac:dyDescent="0.35">
      <c r="A35" s="1">
        <v>32</v>
      </c>
      <c r="B35" s="1" t="s">
        <v>56</v>
      </c>
      <c r="C35" s="1">
        <v>77</v>
      </c>
      <c r="D35" s="1">
        <v>80</v>
      </c>
      <c r="E35" s="1">
        <v>78</v>
      </c>
      <c r="F35" s="1">
        <v>76</v>
      </c>
      <c r="G35" s="1">
        <v>83</v>
      </c>
    </row>
    <row r="36" spans="1:17" x14ac:dyDescent="0.35">
      <c r="A36" s="1">
        <v>33</v>
      </c>
      <c r="B36" s="1" t="s">
        <v>57</v>
      </c>
      <c r="C36" s="1">
        <v>60</v>
      </c>
      <c r="D36" s="1">
        <v>63</v>
      </c>
      <c r="E36" s="1">
        <v>61</v>
      </c>
      <c r="F36" s="1">
        <v>59</v>
      </c>
      <c r="G36" s="1">
        <v>65</v>
      </c>
    </row>
    <row r="37" spans="1:17" x14ac:dyDescent="0.35">
      <c r="A37" s="1">
        <v>34</v>
      </c>
      <c r="B37" s="1" t="s">
        <v>58</v>
      </c>
      <c r="C37" s="1">
        <v>42</v>
      </c>
      <c r="D37" s="1">
        <v>45</v>
      </c>
      <c r="E37" s="1">
        <v>43</v>
      </c>
      <c r="F37" s="1">
        <v>41</v>
      </c>
      <c r="G37" s="1">
        <v>47</v>
      </c>
    </row>
    <row r="38" spans="1:17" x14ac:dyDescent="0.35">
      <c r="A38" s="1">
        <v>35</v>
      </c>
      <c r="B38" s="1" t="s">
        <v>59</v>
      </c>
      <c r="C38" s="1">
        <v>84</v>
      </c>
      <c r="D38" s="1">
        <v>87</v>
      </c>
      <c r="E38" s="1">
        <v>85</v>
      </c>
      <c r="F38" s="1">
        <v>82</v>
      </c>
      <c r="G38" s="1">
        <v>89</v>
      </c>
    </row>
    <row r="39" spans="1:17" x14ac:dyDescent="0.35">
      <c r="A39" s="1">
        <v>36</v>
      </c>
      <c r="B39" s="1" t="s">
        <v>60</v>
      </c>
      <c r="C39" s="1">
        <v>55</v>
      </c>
      <c r="D39" s="1">
        <v>58</v>
      </c>
      <c r="E39" s="1">
        <v>56</v>
      </c>
      <c r="F39" s="1">
        <v>54</v>
      </c>
      <c r="G39" s="1">
        <v>60</v>
      </c>
    </row>
    <row r="40" spans="1:17" x14ac:dyDescent="0.35">
      <c r="A40" s="1">
        <v>37</v>
      </c>
      <c r="B40" s="1" t="s">
        <v>61</v>
      </c>
      <c r="C40" s="1">
        <v>70</v>
      </c>
      <c r="D40" s="1">
        <v>73</v>
      </c>
      <c r="E40" s="1">
        <v>71</v>
      </c>
      <c r="F40" s="1">
        <v>69</v>
      </c>
      <c r="G40" s="1">
        <v>75</v>
      </c>
    </row>
    <row r="41" spans="1:17" x14ac:dyDescent="0.35">
      <c r="A41" s="1">
        <v>38</v>
      </c>
      <c r="B41" s="1" t="s">
        <v>62</v>
      </c>
      <c r="C41" s="1">
        <v>36</v>
      </c>
      <c r="D41" s="1">
        <v>39</v>
      </c>
      <c r="E41" s="1">
        <v>38</v>
      </c>
      <c r="F41" s="1">
        <v>37</v>
      </c>
      <c r="G41" s="1">
        <v>40</v>
      </c>
    </row>
    <row r="42" spans="1:17" x14ac:dyDescent="0.35">
      <c r="A42" s="1">
        <v>39</v>
      </c>
      <c r="B42" s="1" t="s">
        <v>63</v>
      </c>
      <c r="C42" s="1">
        <v>64</v>
      </c>
      <c r="D42" s="1">
        <v>67</v>
      </c>
      <c r="E42" s="1">
        <v>65</v>
      </c>
      <c r="F42" s="1">
        <v>63</v>
      </c>
      <c r="G42" s="1">
        <v>69</v>
      </c>
    </row>
    <row r="43" spans="1:17" x14ac:dyDescent="0.35">
      <c r="A43" s="1">
        <v>40</v>
      </c>
      <c r="B43" s="1" t="s">
        <v>64</v>
      </c>
      <c r="C43" s="1">
        <v>78</v>
      </c>
      <c r="D43" s="1">
        <v>81</v>
      </c>
      <c r="E43" s="1">
        <v>79</v>
      </c>
      <c r="F43" s="1">
        <v>77</v>
      </c>
      <c r="G43" s="1">
        <v>84</v>
      </c>
    </row>
    <row r="44" spans="1:17" x14ac:dyDescent="0.35">
      <c r="A44" s="1">
        <v>41</v>
      </c>
      <c r="B44" s="1" t="s">
        <v>65</v>
      </c>
      <c r="C44" s="1">
        <v>46</v>
      </c>
      <c r="D44" s="1">
        <v>49</v>
      </c>
      <c r="E44" s="1">
        <v>47</v>
      </c>
      <c r="F44" s="1">
        <v>45</v>
      </c>
      <c r="G44" s="1">
        <v>51</v>
      </c>
    </row>
    <row r="45" spans="1:17" x14ac:dyDescent="0.35">
      <c r="A45" s="1">
        <v>42</v>
      </c>
      <c r="B45" s="1" t="s">
        <v>66</v>
      </c>
      <c r="C45" s="1">
        <v>86</v>
      </c>
      <c r="D45" s="1">
        <v>89</v>
      </c>
      <c r="E45" s="1">
        <v>88</v>
      </c>
      <c r="F45" s="1">
        <v>85</v>
      </c>
      <c r="G45" s="1">
        <v>91</v>
      </c>
    </row>
    <row r="46" spans="1:17" x14ac:dyDescent="0.35">
      <c r="A46" s="1">
        <v>43</v>
      </c>
      <c r="B46" s="1" t="s">
        <v>67</v>
      </c>
      <c r="C46" s="1">
        <v>57</v>
      </c>
      <c r="D46" s="1">
        <v>60</v>
      </c>
      <c r="E46" s="1">
        <v>58</v>
      </c>
      <c r="F46" s="1">
        <v>56</v>
      </c>
      <c r="G46" s="1">
        <v>62</v>
      </c>
    </row>
    <row r="47" spans="1:17" x14ac:dyDescent="0.35">
      <c r="A47" s="1">
        <v>44</v>
      </c>
      <c r="B47" s="1" t="s">
        <v>68</v>
      </c>
      <c r="C47" s="1">
        <v>40</v>
      </c>
      <c r="D47" s="1">
        <v>43</v>
      </c>
      <c r="E47" s="1">
        <v>41</v>
      </c>
      <c r="F47" s="1">
        <v>39</v>
      </c>
      <c r="G47" s="1">
        <v>45</v>
      </c>
    </row>
    <row r="48" spans="1:17" x14ac:dyDescent="0.35">
      <c r="A48" s="1">
        <v>45</v>
      </c>
      <c r="B48" s="1" t="s">
        <v>69</v>
      </c>
      <c r="C48" s="1">
        <v>83</v>
      </c>
      <c r="D48" s="1">
        <v>86</v>
      </c>
      <c r="E48" s="1">
        <v>84</v>
      </c>
      <c r="F48" s="1">
        <v>82</v>
      </c>
      <c r="G48" s="1">
        <v>88</v>
      </c>
    </row>
    <row r="49" spans="1:7" x14ac:dyDescent="0.35">
      <c r="A49" s="1">
        <v>46</v>
      </c>
      <c r="B49" s="1" t="s">
        <v>70</v>
      </c>
      <c r="C49" s="1">
        <v>69</v>
      </c>
      <c r="D49" s="1">
        <v>72</v>
      </c>
      <c r="E49" s="1">
        <v>70</v>
      </c>
      <c r="F49" s="1">
        <v>68</v>
      </c>
      <c r="G49" s="1">
        <v>74</v>
      </c>
    </row>
    <row r="50" spans="1:7" x14ac:dyDescent="0.35">
      <c r="A50" s="1">
        <v>47</v>
      </c>
      <c r="B50" s="1" t="s">
        <v>71</v>
      </c>
      <c r="C50" s="1">
        <v>52</v>
      </c>
      <c r="D50" s="1">
        <v>55</v>
      </c>
      <c r="E50" s="1">
        <v>53</v>
      </c>
      <c r="F50" s="1">
        <v>51</v>
      </c>
      <c r="G50" s="1">
        <v>57</v>
      </c>
    </row>
    <row r="51" spans="1:7" x14ac:dyDescent="0.35">
      <c r="A51" s="1">
        <v>48</v>
      </c>
      <c r="B51" s="1" t="s">
        <v>72</v>
      </c>
      <c r="C51" s="1">
        <v>90</v>
      </c>
      <c r="D51" s="1">
        <v>93</v>
      </c>
      <c r="E51" s="1">
        <v>91</v>
      </c>
      <c r="F51" s="1">
        <v>89</v>
      </c>
      <c r="G51" s="1">
        <v>95</v>
      </c>
    </row>
    <row r="52" spans="1:7" x14ac:dyDescent="0.35">
      <c r="A52" s="1">
        <v>49</v>
      </c>
      <c r="B52" s="1" t="s">
        <v>73</v>
      </c>
      <c r="C52" s="1">
        <v>61</v>
      </c>
      <c r="D52" s="1">
        <v>64</v>
      </c>
      <c r="E52" s="1">
        <v>62</v>
      </c>
      <c r="F52" s="1">
        <v>60</v>
      </c>
      <c r="G52" s="1">
        <v>66</v>
      </c>
    </row>
    <row r="53" spans="1:7" x14ac:dyDescent="0.35">
      <c r="A53" s="1">
        <v>50</v>
      </c>
      <c r="B53" s="1" t="s">
        <v>74</v>
      </c>
      <c r="C53" s="1">
        <v>75</v>
      </c>
      <c r="D53" s="1">
        <v>78</v>
      </c>
      <c r="E53" s="1">
        <v>76</v>
      </c>
      <c r="F53" s="1">
        <v>74</v>
      </c>
      <c r="G53" s="1">
        <v>81</v>
      </c>
    </row>
  </sheetData>
  <mergeCells count="7">
    <mergeCell ref="I2:Q4"/>
    <mergeCell ref="M22:Q23"/>
    <mergeCell ref="I10:K11"/>
    <mergeCell ref="I5:K6"/>
    <mergeCell ref="I15:L16"/>
    <mergeCell ref="I19:L20"/>
    <mergeCell ref="M17:Q18"/>
  </mergeCells>
  <dataValidations count="2">
    <dataValidation type="list" allowBlank="1" showInputMessage="1" showErrorMessage="1" sqref="J12 O19" xr:uid="{4C3C7D42-7E9E-4DB4-A34E-71E6BE1305D1}">
      <formula1>$C$3:$G$3</formula1>
    </dataValidation>
    <dataValidation type="list" allowBlank="1" showInputMessage="1" showErrorMessage="1" sqref="I13 I17 N20" xr:uid="{24FDA334-9400-48F7-B14A-F9F011B5064A}">
      <formula1>$B$4:$B$53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</vt:lpstr>
      <vt:lpstr>vlookup</vt:lpstr>
      <vt:lpstr>Sheet1</vt:lpstr>
      <vt:lpstr>hlookup</vt:lpstr>
      <vt:lpstr>Xlookup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rathore</dc:creator>
  <cp:lastModifiedBy>Nikhil rathore</cp:lastModifiedBy>
  <dcterms:created xsi:type="dcterms:W3CDTF">2026-01-27T04:20:04Z</dcterms:created>
  <dcterms:modified xsi:type="dcterms:W3CDTF">2026-01-30T04:22:41Z</dcterms:modified>
</cp:coreProperties>
</file>