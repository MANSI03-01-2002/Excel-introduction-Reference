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ikhi\OneDrive\Desktop\EXCEL\"/>
    </mc:Choice>
  </mc:AlternateContent>
  <xr:revisionPtr revIDLastSave="0" documentId="13_ncr:1_{EE25E2D5-49E4-4535-A88E-94D6D8512674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" i="1" l="1"/>
  <c r="E31" i="1"/>
  <c r="D31" i="1"/>
  <c r="E21" i="1"/>
  <c r="D21" i="1"/>
  <c r="H10" i="1"/>
  <c r="I10" i="1" s="1"/>
  <c r="G3" i="1"/>
  <c r="G4" i="1"/>
  <c r="G5" i="1"/>
  <c r="G6" i="1"/>
  <c r="C21" i="1"/>
  <c r="B21" i="1"/>
  <c r="B22" i="1"/>
  <c r="F13" i="1"/>
  <c r="F10" i="1"/>
  <c r="E10" i="1"/>
  <c r="B14" i="1" s="1"/>
  <c r="D10" i="1"/>
  <c r="C10" i="1"/>
  <c r="B10" i="1"/>
  <c r="C14" i="1" l="1"/>
</calcChain>
</file>

<file path=xl/sharedStrings.xml><?xml version="1.0" encoding="utf-8"?>
<sst xmlns="http://schemas.openxmlformats.org/spreadsheetml/2006/main" count="27" uniqueCount="27">
  <si>
    <t>OrderID</t>
  </si>
  <si>
    <t>OrderDate</t>
  </si>
  <si>
    <t>ShipDate</t>
  </si>
  <si>
    <t>DeliveryDate</t>
  </si>
  <si>
    <t>PaymentDate</t>
  </si>
  <si>
    <t>Amount</t>
  </si>
  <si>
    <t>Day()</t>
  </si>
  <si>
    <t>Month()</t>
  </si>
  <si>
    <t>Year()</t>
  </si>
  <si>
    <t>Weekday()</t>
  </si>
  <si>
    <t>Now()(Current T/D)</t>
  </si>
  <si>
    <t>Today()(Current date)</t>
  </si>
  <si>
    <t>Weeknumber()</t>
  </si>
  <si>
    <t>Weeknumber :-&gt; new week start from Monday</t>
  </si>
  <si>
    <t>Date()</t>
  </si>
  <si>
    <t>Text() With week Name</t>
  </si>
  <si>
    <t>TEXT() &amp; with MSG</t>
  </si>
  <si>
    <t>DATEDIF ()</t>
  </si>
  <si>
    <t>Datediff()</t>
  </si>
  <si>
    <t>Edate</t>
  </si>
  <si>
    <t>Edate = exect date after /before interval</t>
  </si>
  <si>
    <t>Eomonth = end date of month after interval</t>
  </si>
  <si>
    <t xml:space="preserve"> Eomonth</t>
  </si>
  <si>
    <t>Holidays</t>
  </si>
  <si>
    <t>Working day</t>
  </si>
  <si>
    <t>Networkdays</t>
  </si>
  <si>
    <t>Networkdays.INLT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</si>
</sst>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6" x14ac:knownFonts="1">
    <font>
      <sz val="10"/>
      <color rgb="FF000000"/>
      <name val="Calibri"/>
      <scheme val="minor"/>
    </font>
    <font>
      <sz val="10"/>
      <name val="Calibri"/>
    </font>
    <font>
      <sz val="10"/>
      <color theme="1"/>
      <name val="Calibri"/>
      <family val="2"/>
    </font>
    <font>
      <sz val="18"/>
      <color rgb="FF000000"/>
      <name val="Calibri"/>
      <family val="2"/>
      <scheme val="minor"/>
    </font>
    <font>
      <sz val="10"/>
      <name val="Calibri"/>
      <family val="2"/>
    </font>
    <font>
      <sz val="10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3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0" fillId="0" borderId="0" xfId="0" applyAlignment="1">
      <alignment horizontal="center"/>
    </xf>
    <xf numFmtId="0" fontId="0" fillId="0" borderId="7" xfId="0" applyBorder="1"/>
    <xf numFmtId="0" fontId="0" fillId="0" borderId="10" xfId="0" applyBorder="1"/>
    <xf numFmtId="0" fontId="0" fillId="0" borderId="11" xfId="0" applyBorder="1"/>
    <xf numFmtId="14" fontId="0" fillId="0" borderId="12" xfId="0" applyNumberFormat="1" applyBorder="1"/>
    <xf numFmtId="22" fontId="0" fillId="0" borderId="13" xfId="0" applyNumberFormat="1" applyBorder="1"/>
    <xf numFmtId="0" fontId="0" fillId="0" borderId="18" xfId="0" applyBorder="1"/>
    <xf numFmtId="0" fontId="0" fillId="0" borderId="23" xfId="0" applyBorder="1"/>
    <xf numFmtId="0" fontId="0" fillId="0" borderId="24" xfId="0" applyBorder="1"/>
    <xf numFmtId="0" fontId="0" fillId="0" borderId="5" xfId="0" applyBorder="1"/>
    <xf numFmtId="0" fontId="0" fillId="0" borderId="6" xfId="0" applyBorder="1"/>
    <xf numFmtId="0" fontId="0" fillId="0" borderId="15" xfId="0" applyBorder="1"/>
    <xf numFmtId="0" fontId="0" fillId="0" borderId="1" xfId="0" applyBorder="1"/>
    <xf numFmtId="0" fontId="0" fillId="0" borderId="27" xfId="0" applyBorder="1"/>
    <xf numFmtId="14" fontId="0" fillId="0" borderId="8" xfId="0" applyNumberFormat="1" applyBorder="1"/>
    <xf numFmtId="0" fontId="0" fillId="0" borderId="9" xfId="0" applyBorder="1"/>
    <xf numFmtId="0" fontId="0" fillId="0" borderId="28" xfId="0" applyBorder="1"/>
    <xf numFmtId="0" fontId="1" fillId="0" borderId="27" xfId="0" applyFont="1" applyBorder="1"/>
    <xf numFmtId="0" fontId="1" fillId="0" borderId="6" xfId="0" applyFont="1" applyBorder="1"/>
    <xf numFmtId="0" fontId="1" fillId="2" borderId="19" xfId="0" applyFont="1" applyFill="1" applyBorder="1"/>
    <xf numFmtId="0" fontId="1" fillId="0" borderId="26" xfId="0" applyFont="1" applyBorder="1"/>
    <xf numFmtId="0" fontId="1" fillId="0" borderId="29" xfId="0" applyFont="1" applyBorder="1"/>
    <xf numFmtId="0" fontId="1" fillId="0" borderId="17" xfId="0" applyFont="1" applyBorder="1"/>
    <xf numFmtId="164" fontId="1" fillId="0" borderId="27" xfId="0" applyNumberFormat="1" applyFont="1" applyBorder="1"/>
    <xf numFmtId="164" fontId="1" fillId="0" borderId="6" xfId="0" applyNumberFormat="1" applyFont="1" applyBorder="1"/>
    <xf numFmtId="164" fontId="1" fillId="0" borderId="29" xfId="0" applyNumberFormat="1" applyFont="1" applyBorder="1"/>
    <xf numFmtId="164" fontId="1" fillId="0" borderId="17" xfId="0" applyNumberFormat="1" applyFont="1" applyBorder="1"/>
    <xf numFmtId="164" fontId="1" fillId="0" borderId="30" xfId="0" applyNumberFormat="1" applyFont="1" applyBorder="1"/>
    <xf numFmtId="164" fontId="1" fillId="0" borderId="31" xfId="0" applyNumberFormat="1" applyFont="1" applyBorder="1"/>
    <xf numFmtId="0" fontId="1" fillId="0" borderId="30" xfId="0" applyFont="1" applyBorder="1"/>
    <xf numFmtId="0" fontId="0" fillId="0" borderId="32" xfId="0" applyBorder="1"/>
    <xf numFmtId="0" fontId="1" fillId="2" borderId="1" xfId="0" applyFont="1" applyFill="1" applyBorder="1"/>
    <xf numFmtId="0" fontId="1" fillId="2" borderId="3" xfId="0" applyFont="1" applyFill="1" applyBorder="1"/>
    <xf numFmtId="0" fontId="4" fillId="2" borderId="4" xfId="0" applyFont="1" applyFill="1" applyBorder="1"/>
    <xf numFmtId="14" fontId="0" fillId="0" borderId="1" xfId="0" applyNumberFormat="1" applyBorder="1"/>
    <xf numFmtId="0" fontId="2" fillId="2" borderId="1" xfId="0" applyFont="1" applyFill="1" applyBorder="1"/>
    <xf numFmtId="0" fontId="3" fillId="2" borderId="2" xfId="0" applyFont="1" applyFill="1" applyBorder="1" applyAlignment="1">
      <alignment horizontal="left"/>
    </xf>
    <xf numFmtId="0" fontId="3" fillId="2" borderId="3" xfId="0" applyFont="1" applyFill="1" applyBorder="1" applyAlignment="1">
      <alignment horizontal="left"/>
    </xf>
    <xf numFmtId="0" fontId="3" fillId="2" borderId="4" xfId="0" applyFont="1" applyFill="1" applyBorder="1" applyAlignment="1">
      <alignment horizontal="left"/>
    </xf>
    <xf numFmtId="0" fontId="3" fillId="2" borderId="14" xfId="0" applyFont="1" applyFill="1" applyBorder="1" applyAlignment="1">
      <alignment horizontal="center"/>
    </xf>
    <xf numFmtId="0" fontId="3" fillId="2" borderId="15" xfId="0" applyFont="1" applyFill="1" applyBorder="1" applyAlignment="1">
      <alignment horizontal="center"/>
    </xf>
    <xf numFmtId="0" fontId="3" fillId="2" borderId="19" xfId="0" applyFont="1" applyFill="1" applyBorder="1" applyAlignment="1">
      <alignment horizontal="center"/>
    </xf>
    <xf numFmtId="0" fontId="3" fillId="2" borderId="20" xfId="0" applyFont="1" applyFill="1" applyBorder="1" applyAlignment="1">
      <alignment horizontal="center"/>
    </xf>
    <xf numFmtId="0" fontId="3" fillId="2" borderId="21" xfId="0" applyFont="1" applyFill="1" applyBorder="1" applyAlignment="1">
      <alignment horizontal="center"/>
    </xf>
    <xf numFmtId="0" fontId="3" fillId="2" borderId="25" xfId="0" applyFont="1" applyFill="1" applyBorder="1" applyAlignment="1">
      <alignment horizontal="center"/>
    </xf>
    <xf numFmtId="0" fontId="3" fillId="2" borderId="16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2" borderId="22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26" xfId="0" applyFont="1" applyFill="1" applyBorder="1" applyAlignment="1">
      <alignment horizontal="center"/>
    </xf>
    <xf numFmtId="0" fontId="3" fillId="2" borderId="17" xfId="0" applyFont="1" applyFill="1" applyBorder="1" applyAlignment="1">
      <alignment horizontal="center"/>
    </xf>
    <xf numFmtId="0" fontId="0" fillId="0" borderId="2" xfId="0" applyBorder="1"/>
    <xf numFmtId="0" fontId="0" fillId="0" borderId="33" xfId="0" applyBorder="1"/>
    <xf numFmtId="0" fontId="0" fillId="0" borderId="0" xfId="0" applyAlignment="1">
      <alignment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14" xfId="0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vertical="center"/>
    </xf>
    <xf numFmtId="0" fontId="0" fillId="0" borderId="0" xfId="0" applyBorder="1"/>
    <xf numFmtId="0" fontId="0" fillId="0" borderId="0" xfId="0" applyBorder="1" applyAlignment="1">
      <alignment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34"/>
  <sheetViews>
    <sheetView tabSelected="1" zoomScaleNormal="100" workbookViewId="0">
      <selection activeCell="C37" sqref="C37"/>
    </sheetView>
  </sheetViews>
  <sheetFormatPr defaultColWidth="12.59765625" defaultRowHeight="15.75" customHeight="1" x14ac:dyDescent="0.3"/>
  <cols>
    <col min="1" max="1" width="7.69921875" bestFit="1" customWidth="1"/>
    <col min="2" max="2" width="36.5" bestFit="1" customWidth="1"/>
    <col min="3" max="3" width="29.796875" bestFit="1" customWidth="1"/>
    <col min="4" max="4" width="21.3984375" customWidth="1"/>
    <col min="5" max="5" width="33.8984375" bestFit="1" customWidth="1"/>
    <col min="6" max="7" width="30.5" bestFit="1" customWidth="1"/>
    <col min="9" max="9" width="21.296875" customWidth="1"/>
  </cols>
  <sheetData>
    <row r="1" spans="1:9" ht="20" customHeight="1" thickBot="1" x14ac:dyDescent="0.35">
      <c r="A1" s="20" t="s">
        <v>0</v>
      </c>
      <c r="B1" s="36" t="s">
        <v>1</v>
      </c>
      <c r="C1" s="33" t="s">
        <v>2</v>
      </c>
      <c r="D1" s="32" t="s">
        <v>3</v>
      </c>
      <c r="E1" s="32" t="s">
        <v>4</v>
      </c>
      <c r="F1" s="32" t="s">
        <v>5</v>
      </c>
      <c r="G1" s="34" t="s">
        <v>17</v>
      </c>
    </row>
    <row r="2" spans="1:9" ht="15.75" customHeight="1" x14ac:dyDescent="0.3">
      <c r="A2" s="21">
        <v>101</v>
      </c>
      <c r="B2" s="28">
        <v>45296</v>
      </c>
      <c r="C2" s="29">
        <v>45297</v>
      </c>
      <c r="D2" s="28">
        <v>45301</v>
      </c>
      <c r="E2" s="28">
        <v>45296</v>
      </c>
      <c r="F2" s="30">
        <v>1200</v>
      </c>
      <c r="G2" s="31">
        <f>DATEDIF(B2,D2,"d")</f>
        <v>5</v>
      </c>
    </row>
    <row r="3" spans="1:9" ht="15.75" customHeight="1" x14ac:dyDescent="0.3">
      <c r="A3" s="22">
        <v>102</v>
      </c>
      <c r="B3" s="24">
        <v>45306</v>
      </c>
      <c r="C3" s="26">
        <v>45308</v>
      </c>
      <c r="D3" s="24">
        <v>45313</v>
      </c>
      <c r="E3" s="24">
        <v>45307</v>
      </c>
      <c r="F3" s="18">
        <v>850</v>
      </c>
      <c r="G3" s="16">
        <f t="shared" ref="G3:G6" si="0">DATEDIF(B3,D3,"d")</f>
        <v>7</v>
      </c>
    </row>
    <row r="4" spans="1:9" ht="15.75" customHeight="1" x14ac:dyDescent="0.3">
      <c r="A4" s="22">
        <v>103</v>
      </c>
      <c r="B4" s="24">
        <v>45350</v>
      </c>
      <c r="C4" s="26">
        <v>45351</v>
      </c>
      <c r="D4" s="24">
        <v>45356</v>
      </c>
      <c r="E4" s="24">
        <v>45350</v>
      </c>
      <c r="F4" s="18">
        <v>1500</v>
      </c>
      <c r="G4" s="16">
        <f t="shared" si="0"/>
        <v>6</v>
      </c>
    </row>
    <row r="5" spans="1:9" ht="15.75" customHeight="1" x14ac:dyDescent="0.3">
      <c r="A5" s="22">
        <v>104</v>
      </c>
      <c r="B5" s="24">
        <v>45382</v>
      </c>
      <c r="C5" s="26">
        <v>45383</v>
      </c>
      <c r="D5" s="24">
        <v>45389</v>
      </c>
      <c r="E5" s="24">
        <v>45382</v>
      </c>
      <c r="F5" s="18">
        <v>980</v>
      </c>
      <c r="G5" s="16">
        <f t="shared" si="0"/>
        <v>7</v>
      </c>
    </row>
    <row r="6" spans="1:9" ht="15.75" customHeight="1" thickBot="1" x14ac:dyDescent="0.35">
      <c r="A6" s="23">
        <v>105</v>
      </c>
      <c r="B6" s="25">
        <v>45453</v>
      </c>
      <c r="C6" s="27">
        <v>45455</v>
      </c>
      <c r="D6" s="25">
        <v>45461</v>
      </c>
      <c r="E6" s="25">
        <v>45454</v>
      </c>
      <c r="F6" s="19">
        <v>2200</v>
      </c>
      <c r="G6" s="17">
        <f t="shared" si="0"/>
        <v>8</v>
      </c>
    </row>
    <row r="7" spans="1:9" ht="15.75" customHeight="1" thickBot="1" x14ac:dyDescent="0.35"/>
    <row r="8" spans="1:9" ht="15.75" customHeight="1" x14ac:dyDescent="0.3">
      <c r="B8" s="49" t="s">
        <v>6</v>
      </c>
      <c r="C8" s="49" t="s">
        <v>7</v>
      </c>
      <c r="D8" s="49" t="s">
        <v>8</v>
      </c>
      <c r="E8" s="40" t="s">
        <v>11</v>
      </c>
      <c r="F8" s="49" t="s">
        <v>10</v>
      </c>
      <c r="G8" s="42" t="s">
        <v>18</v>
      </c>
      <c r="H8" s="43"/>
      <c r="I8" s="44"/>
    </row>
    <row r="9" spans="1:9" ht="15.75" customHeight="1" thickBot="1" x14ac:dyDescent="0.35">
      <c r="B9" s="50"/>
      <c r="C9" s="50"/>
      <c r="D9" s="50"/>
      <c r="E9" s="41"/>
      <c r="F9" s="50"/>
      <c r="G9" s="46"/>
      <c r="H9" s="47"/>
      <c r="I9" s="48"/>
    </row>
    <row r="10" spans="1:9" ht="15.75" customHeight="1" thickBot="1" x14ac:dyDescent="0.35">
      <c r="B10" s="2">
        <f>DAY(B2)</f>
        <v>5</v>
      </c>
      <c r="C10" s="3">
        <f>MONTH(B2)</f>
        <v>1</v>
      </c>
      <c r="D10" s="4">
        <f>YEAR(B2)</f>
        <v>2024</v>
      </c>
      <c r="E10" s="5">
        <f ca="1">TODAY()</f>
        <v>46056</v>
      </c>
      <c r="F10" s="6">
        <f ca="1">NOW()</f>
        <v>46056.410063773146</v>
      </c>
      <c r="G10" s="35">
        <v>37286</v>
      </c>
      <c r="H10" s="35">
        <f ca="1">TODAY()</f>
        <v>46056</v>
      </c>
      <c r="I10" s="13" t="str">
        <f ca="1">DATEDIF(G10,H10,"y")&amp;  " Year " &amp; DATEDIF(G10,H10,"ym") &amp; " month " &amp; DATEDIF(G10,H10,"md")&amp; " days "</f>
        <v xml:space="preserve">24 Year 0 month 4 days </v>
      </c>
    </row>
    <row r="11" spans="1:9" ht="22.5" customHeight="1" thickBot="1" x14ac:dyDescent="0.35"/>
    <row r="12" spans="1:9" ht="31.5" customHeight="1" thickBot="1" x14ac:dyDescent="0.6">
      <c r="B12" s="49" t="s">
        <v>9</v>
      </c>
      <c r="C12" s="51" t="s">
        <v>12</v>
      </c>
      <c r="D12" s="42" t="s">
        <v>14</v>
      </c>
      <c r="E12" s="43"/>
      <c r="F12" s="44"/>
    </row>
    <row r="13" spans="1:9" ht="15.75" customHeight="1" thickBot="1" x14ac:dyDescent="0.35">
      <c r="B13" s="50"/>
      <c r="C13" s="52"/>
      <c r="D13" s="10"/>
      <c r="E13" s="10">
        <v>3</v>
      </c>
      <c r="F13" s="15">
        <f>DATE(E15,E14,E13)</f>
        <v>40942</v>
      </c>
    </row>
    <row r="14" spans="1:9" ht="15.75" customHeight="1" thickBot="1" x14ac:dyDescent="0.35">
      <c r="B14" s="2">
        <f ca="1">WEEKDAY(E10,2)</f>
        <v>2</v>
      </c>
      <c r="C14" s="7">
        <f ca="1">WEEKNUM(E10,2)</f>
        <v>6</v>
      </c>
      <c r="D14" s="14"/>
      <c r="E14" s="14">
        <v>2</v>
      </c>
      <c r="F14" s="16"/>
    </row>
    <row r="15" spans="1:9" ht="17" customHeight="1" thickBot="1" x14ac:dyDescent="0.35">
      <c r="D15" s="11"/>
      <c r="E15" s="11">
        <v>2012</v>
      </c>
      <c r="F15" s="17"/>
      <c r="I15" s="1"/>
    </row>
    <row r="16" spans="1:9" ht="17" customHeight="1" thickBot="1" x14ac:dyDescent="0.35">
      <c r="D16" s="8"/>
      <c r="E16" s="8"/>
      <c r="F16" s="9"/>
    </row>
    <row r="17" spans="2:6" ht="28.5" customHeight="1" thickBot="1" x14ac:dyDescent="0.6">
      <c r="B17" s="37" t="s">
        <v>13</v>
      </c>
      <c r="C17" s="38"/>
      <c r="D17" s="38"/>
      <c r="E17" s="38"/>
      <c r="F17" s="39"/>
    </row>
    <row r="18" spans="2:6" ht="15.75" customHeight="1" thickBot="1" x14ac:dyDescent="0.35"/>
    <row r="19" spans="2:6" ht="15.75" customHeight="1" x14ac:dyDescent="0.3">
      <c r="B19" s="40" t="s">
        <v>15</v>
      </c>
      <c r="C19" s="40" t="s">
        <v>16</v>
      </c>
      <c r="D19" s="40" t="s">
        <v>19</v>
      </c>
      <c r="E19" s="44" t="s">
        <v>22</v>
      </c>
    </row>
    <row r="20" spans="2:6" ht="15.75" customHeight="1" thickBot="1" x14ac:dyDescent="0.35">
      <c r="B20" s="45"/>
      <c r="C20" s="41"/>
      <c r="D20" s="45"/>
      <c r="E20" s="48"/>
    </row>
    <row r="21" spans="2:6" ht="15.75" customHeight="1" thickBot="1" x14ac:dyDescent="0.35">
      <c r="B21" s="13" t="str">
        <f>TEXT(B2,"dddd  dd  mmm  yyyy")</f>
        <v>Friday  05  Jan  2024</v>
      </c>
      <c r="C21" s="53" t="str">
        <f>"Today is "&amp; TEXT(B2,"dddd mmm dd yyyy")</f>
        <v>Today is Friday Jan 05 2024</v>
      </c>
      <c r="D21" s="35">
        <f>EDATE(B2,2)</f>
        <v>45356</v>
      </c>
      <c r="E21" s="35">
        <f>EOMONTH(B2,2)</f>
        <v>45382</v>
      </c>
    </row>
    <row r="22" spans="2:6" ht="15.75" customHeight="1" thickBot="1" x14ac:dyDescent="0.35">
      <c r="B22" s="12" t="str">
        <f>TEXT(B2,"dd mmmm yyyy")</f>
        <v>05 January 2024</v>
      </c>
      <c r="C22" s="54"/>
      <c r="D22" s="13"/>
      <c r="E22" s="13"/>
    </row>
    <row r="23" spans="2:6" ht="15.75" customHeight="1" x14ac:dyDescent="0.3">
      <c r="B23" s="55"/>
      <c r="C23" s="55"/>
      <c r="D23" s="55"/>
      <c r="E23" s="55"/>
      <c r="F23" s="55"/>
    </row>
    <row r="24" spans="2:6" ht="14.5" customHeight="1" thickBot="1" x14ac:dyDescent="0.35">
      <c r="B24" s="55"/>
      <c r="C24" s="55"/>
      <c r="D24" s="55"/>
      <c r="E24" s="55"/>
      <c r="F24" s="55"/>
    </row>
    <row r="25" spans="2:6" ht="21.5" customHeight="1" thickBot="1" x14ac:dyDescent="0.35">
      <c r="B25" s="56" t="s">
        <v>20</v>
      </c>
      <c r="C25" s="57"/>
      <c r="D25" s="57"/>
      <c r="E25" s="57"/>
      <c r="F25" s="58"/>
    </row>
    <row r="26" spans="2:6" ht="22" customHeight="1" thickBot="1" x14ac:dyDescent="0.35">
      <c r="B26" s="56" t="s">
        <v>21</v>
      </c>
      <c r="C26" s="57"/>
      <c r="D26" s="57"/>
      <c r="E26" s="57"/>
      <c r="F26" s="58"/>
    </row>
    <row r="27" spans="2:6" ht="15.75" customHeight="1" x14ac:dyDescent="0.3">
      <c r="C27" s="63"/>
      <c r="D27" s="61"/>
      <c r="E27" s="61"/>
      <c r="F27" s="55"/>
    </row>
    <row r="28" spans="2:6" ht="15.75" customHeight="1" thickBot="1" x14ac:dyDescent="0.35">
      <c r="C28" s="62"/>
      <c r="D28" s="61"/>
      <c r="E28" s="61"/>
    </row>
    <row r="29" spans="2:6" ht="15.75" customHeight="1" thickBot="1" x14ac:dyDescent="0.35">
      <c r="B29" s="64" t="s">
        <v>24</v>
      </c>
      <c r="C29" s="65" t="s">
        <v>23</v>
      </c>
      <c r="D29" s="59" t="s">
        <v>25</v>
      </c>
      <c r="E29" s="59" t="s">
        <v>26</v>
      </c>
    </row>
    <row r="30" spans="2:6" ht="15.75" customHeight="1" thickBot="1" x14ac:dyDescent="0.35">
      <c r="B30" s="35">
        <v>45292</v>
      </c>
      <c r="C30" s="35">
        <v>45301</v>
      </c>
      <c r="D30" s="60"/>
      <c r="E30" s="60"/>
    </row>
    <row r="31" spans="2:6" ht="15.75" customHeight="1" thickBot="1" x14ac:dyDescent="0.35">
      <c r="B31" s="35">
        <v>45322</v>
      </c>
      <c r="C31" s="35">
        <v>45317</v>
      </c>
      <c r="D31" s="13">
        <f>NETWORKDAYS(B30,B31,C30:C32)</f>
        <v>21</v>
      </c>
      <c r="E31" s="13">
        <f>NETWORKDAYS.INTL(B30,B31,11,C30:C32)</f>
        <v>25</v>
      </c>
    </row>
    <row r="32" spans="2:6" ht="15.75" customHeight="1" thickBot="1" x14ac:dyDescent="0.35">
      <c r="B32" s="13"/>
      <c r="C32" s="35">
        <v>45305</v>
      </c>
      <c r="D32" s="13"/>
      <c r="E32" s="13"/>
    </row>
    <row r="33" spans="4:5" ht="15.75" customHeight="1" x14ac:dyDescent="0.3">
      <c r="D33" s="62"/>
      <c r="E33" s="62"/>
    </row>
    <row r="34" spans="4:5" ht="15.75" customHeight="1" x14ac:dyDescent="0.3">
      <c r="D34" s="62"/>
      <c r="E34" s="62"/>
    </row>
  </sheetData>
  <mergeCells count="18">
    <mergeCell ref="D29:D30"/>
    <mergeCell ref="E29:E30"/>
    <mergeCell ref="B25:F25"/>
    <mergeCell ref="B26:F26"/>
    <mergeCell ref="G8:I9"/>
    <mergeCell ref="B8:B9"/>
    <mergeCell ref="C8:C9"/>
    <mergeCell ref="D8:D9"/>
    <mergeCell ref="F8:F9"/>
    <mergeCell ref="B17:F17"/>
    <mergeCell ref="E8:E9"/>
    <mergeCell ref="D12:F12"/>
    <mergeCell ref="B19:B20"/>
    <mergeCell ref="C19:C20"/>
    <mergeCell ref="B12:B13"/>
    <mergeCell ref="C12:C13"/>
    <mergeCell ref="D19:D20"/>
    <mergeCell ref="E19:E2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Nikhil rathore</dc:creator>
  <cp:lastModifiedBy>Nikhil rathore</cp:lastModifiedBy>
  <dcterms:created xsi:type="dcterms:W3CDTF">2026-02-02T04:02:12Z</dcterms:created>
  <dcterms:modified xsi:type="dcterms:W3CDTF">2026-02-03T04:23:07Z</dcterms:modified>
</cp:coreProperties>
</file>